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360" yWindow="30" windowWidth="13395" windowHeight="12585"/>
  </bookViews>
  <sheets>
    <sheet name="VigaAlveolar - Dados" sheetId="1" r:id="rId1"/>
    <sheet name="Plan2" sheetId="2" r:id="rId2"/>
    <sheet name="Plan3" sheetId="3" r:id="rId3"/>
  </sheets>
  <definedNames>
    <definedName name="_xlnm.Print_Area" localSheetId="0">'VigaAlveolar - Dados'!$A$1:$T$40</definedName>
  </definedNames>
  <calcPr calcId="145621"/>
</workbook>
</file>

<file path=xl/calcChain.xml><?xml version="1.0" encoding="utf-8"?>
<calcChain xmlns="http://schemas.openxmlformats.org/spreadsheetml/2006/main">
  <c r="S14" i="1" l="1"/>
  <c r="D11" i="1"/>
  <c r="M33" i="1" l="1"/>
  <c r="D9" i="1"/>
  <c r="S24" i="1"/>
  <c r="R24" i="1"/>
  <c r="S22" i="1"/>
  <c r="R22" i="1"/>
  <c r="S21" i="1"/>
  <c r="R19" i="1"/>
  <c r="R18" i="1"/>
  <c r="S17" i="1"/>
  <c r="S15" i="1"/>
  <c r="I18" i="1" l="1"/>
  <c r="S16" i="1" s="1"/>
  <c r="J33" i="1" l="1"/>
  <c r="H34" i="1"/>
  <c r="H33" i="1"/>
  <c r="R7" i="1"/>
  <c r="R11" i="1"/>
  <c r="R10" i="1"/>
  <c r="R9" i="1"/>
  <c r="R8" i="1"/>
  <c r="R5" i="1"/>
  <c r="R6" i="1"/>
  <c r="S25" i="1" l="1"/>
  <c r="I9" i="1"/>
  <c r="R4" i="1"/>
  <c r="I22" i="1"/>
  <c r="S18" i="1" s="1"/>
  <c r="I24" i="1"/>
  <c r="S19" i="1" s="1"/>
  <c r="I30" i="1"/>
  <c r="S23" i="1" s="1"/>
  <c r="I14" i="1"/>
  <c r="I12" i="1"/>
  <c r="S13" i="1" s="1"/>
  <c r="D32" i="1"/>
  <c r="R25" i="1" s="1"/>
  <c r="D27" i="1"/>
  <c r="R23" i="1" s="1"/>
  <c r="D23" i="1"/>
  <c r="R21" i="1" s="1"/>
  <c r="D20" i="1"/>
  <c r="R17" i="1" s="1"/>
  <c r="D18" i="1"/>
  <c r="R16" i="1" s="1"/>
  <c r="D16" i="1"/>
  <c r="R15" i="1" s="1"/>
  <c r="D14" i="1"/>
  <c r="R14" i="1" s="1"/>
  <c r="D12" i="1"/>
  <c r="R13" i="1" s="1"/>
  <c r="C36" i="1" l="1"/>
  <c r="C38" i="1"/>
  <c r="N2" i="1"/>
  <c r="C39" i="1"/>
  <c r="C37" i="1"/>
</calcChain>
</file>

<file path=xl/comments1.xml><?xml version="1.0" encoding="utf-8"?>
<comments xmlns="http://schemas.openxmlformats.org/spreadsheetml/2006/main">
  <authors>
    <author>UserStone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Os campos deste grupo serão utilizados para nomear o arquivo e gerar um cabeçalho</t>
        </r>
      </text>
    </comment>
    <comment ref="C4" authorId="0">
      <text>
        <r>
          <rPr>
            <b/>
            <sz val="9"/>
            <color indexed="81"/>
            <rFont val="Tahoma"/>
            <family val="2"/>
          </rPr>
          <t>Programa em APDL para o qual esta planilha gera os dados de entrada.</t>
        </r>
      </text>
    </comment>
    <comment ref="G4" authorId="0">
      <text>
        <r>
          <rPr>
            <b/>
            <sz val="9"/>
            <color indexed="81"/>
            <rFont val="Tahoma"/>
            <family val="2"/>
          </rPr>
          <t>Os campos deste grupo serão utilizados somente para gerar um cabeçalho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 xml:space="preserve">Nome do arquivo que será criado </t>
        </r>
        <r>
          <rPr>
            <sz val="9"/>
            <color indexed="81"/>
            <rFont val="Tahoma"/>
            <family val="2"/>
          </rPr>
          <t>(no mesmo diretório desta planilha)</t>
        </r>
      </text>
    </comment>
    <comment ref="H17" authorId="0">
      <text>
        <r>
          <rPr>
            <b/>
            <sz val="9"/>
            <color indexed="81"/>
            <rFont val="Tahoma"/>
            <family val="2"/>
          </rPr>
          <t>Distância entre eixos de aberturas consecutivas</t>
        </r>
      </text>
    </comment>
    <comment ref="H19" authorId="0">
      <text>
        <r>
          <rPr>
            <b/>
            <sz val="9"/>
            <color indexed="81"/>
            <rFont val="Tahoma"/>
            <family val="2"/>
          </rPr>
          <t>Define se serão ou não incluídos enrijecedores nas aberturas</t>
        </r>
      </text>
    </comment>
    <comment ref="C26" authorId="0">
      <text>
        <r>
          <rPr>
            <b/>
            <sz val="9"/>
            <color indexed="81"/>
            <rFont val="Tahoma"/>
            <family val="2"/>
          </rPr>
          <t xml:space="preserve">Tensão de escoamento do material </t>
        </r>
        <r>
          <rPr>
            <sz val="9"/>
            <color indexed="81"/>
            <rFont val="Tahoma"/>
            <family val="2"/>
          </rPr>
          <t>(diagrama tensão-deformação bilinear)</t>
        </r>
      </text>
    </comment>
    <comment ref="H29" authorId="0">
      <text>
        <r>
          <rPr>
            <b/>
            <sz val="9"/>
            <color indexed="81"/>
            <rFont val="Tahoma"/>
            <family val="2"/>
          </rPr>
          <t xml:space="preserve">Dimensão do elemento </t>
        </r>
        <r>
          <rPr>
            <sz val="9"/>
            <color indexed="81"/>
            <rFont val="Tahoma"/>
            <family val="2"/>
          </rPr>
          <t>(valor aproximado em função das irregularidades da malha)</t>
        </r>
      </text>
    </comment>
    <comment ref="C31" authorId="0">
      <text>
        <r>
          <rPr>
            <b/>
            <sz val="9"/>
            <color indexed="81"/>
            <rFont val="Tahoma"/>
            <family val="2"/>
          </rPr>
          <t>A carga linear será convertida em forças nodais e aplicada nos nós do eixo central da mesa superior da viga</t>
        </r>
      </text>
    </comment>
    <comment ref="H31" authorId="0">
      <text>
        <r>
          <rPr>
            <b/>
            <sz val="9"/>
            <color indexed="81"/>
            <rFont val="Tahoma"/>
            <family val="2"/>
          </rPr>
          <t xml:space="preserve">Tipos de análise:
1. Pequenos deslocamentos
</t>
        </r>
        <r>
          <rPr>
            <sz val="9"/>
            <color indexed="81"/>
            <rFont val="Tahoma"/>
            <family val="2"/>
          </rPr>
          <t xml:space="preserve">Não linearidade física (material);
</t>
        </r>
        <r>
          <rPr>
            <b/>
            <sz val="9"/>
            <color indexed="81"/>
            <rFont val="Tahoma"/>
            <family val="2"/>
          </rPr>
          <t xml:space="preserve">2. Grande deslocamentos
</t>
        </r>
        <r>
          <rPr>
            <sz val="9"/>
            <color indexed="81"/>
            <rFont val="Tahoma"/>
            <family val="2"/>
          </rPr>
          <t xml:space="preserve">Não linearidade física (material);
Ativar teoria de grandes deslocamentos (NLGEOM,ON);
</t>
        </r>
        <r>
          <rPr>
            <b/>
            <sz val="9"/>
            <color indexed="81"/>
            <rFont val="Tahoma"/>
            <family val="2"/>
          </rPr>
          <t xml:space="preserve">3. Eigen buckling
</t>
        </r>
        <r>
          <rPr>
            <sz val="9"/>
            <color indexed="81"/>
            <rFont val="Tahoma"/>
            <family val="2"/>
          </rPr>
          <t xml:space="preserve">Análise de flambagem elástica;
Linearidade física (material);
Procedimento:
   Realizar análise linear e armazenar matriz de rigidez (PSTRES,ON);
   Realizar análise de flambagem;
</t>
        </r>
        <r>
          <rPr>
            <b/>
            <sz val="9"/>
            <color indexed="81"/>
            <rFont val="Tahoma"/>
            <family val="2"/>
          </rPr>
          <t xml:space="preserve">4. Imperfeições Geométricas
</t>
        </r>
        <r>
          <rPr>
            <sz val="9"/>
            <color indexed="81"/>
            <rFont val="Tahoma"/>
            <family val="2"/>
          </rPr>
          <t xml:space="preserve">Procedimento:
   Realizar análise de flambagem (elástica e linear - ver </t>
        </r>
        <r>
          <rPr>
            <b/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Tahoma"/>
            <family val="2"/>
          </rPr>
          <t xml:space="preserve">);
   Importar geometria deformada (1º modo de flambagem);
   Realizar análise de grandes deslocamentos (ver </t>
        </r>
        <r>
          <rPr>
            <b/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Tahoma"/>
            <family val="2"/>
          </rPr>
          <t xml:space="preserve">);
</t>
        </r>
        <r>
          <rPr>
            <b/>
            <sz val="9"/>
            <color indexed="81"/>
            <rFont val="Tahoma"/>
            <family val="2"/>
          </rPr>
          <t>5. Modal</t>
        </r>
        <r>
          <rPr>
            <sz val="9"/>
            <color indexed="81"/>
            <rFont val="Tahoma"/>
            <family val="2"/>
          </rPr>
          <t xml:space="preserve">
Análise modal;
Linearidade física (material);</t>
        </r>
      </text>
    </comment>
    <comment ref="C33" authorId="0">
      <text>
        <r>
          <rPr>
            <b/>
            <sz val="9"/>
            <color indexed="81"/>
            <rFont val="Tahoma"/>
            <family val="2"/>
          </rPr>
          <t>Caso a aceleração da gravidade seja incluída será considerado o peso próprio da peça. O valor da aceleração da gravidade considerado é de 9.81m/s²</t>
        </r>
      </text>
    </comment>
    <comment ref="H33" authorId="0">
      <text>
        <r>
          <rPr>
            <b/>
            <sz val="9"/>
            <color indexed="81"/>
            <rFont val="Tahoma"/>
            <family val="2"/>
          </rPr>
          <t xml:space="preserve">Modos:
</t>
        </r>
        <r>
          <rPr>
            <sz val="9"/>
            <color indexed="81"/>
            <rFont val="Tahoma"/>
            <family val="2"/>
          </rPr>
          <t>Número de modos (de flambagem ou vibração) a extrair;</t>
        </r>
        <r>
          <rPr>
            <b/>
            <sz val="9"/>
            <color indexed="81"/>
            <rFont val="Tahoma"/>
            <family val="2"/>
          </rPr>
          <t xml:space="preserve">
Imperfeição:
</t>
        </r>
        <r>
          <rPr>
            <sz val="9"/>
            <color indexed="81"/>
            <rFont val="Tahoma"/>
            <family val="2"/>
          </rPr>
          <t>Imperfeição geométrica inicial a inserir (divisor do comprimento da viga,</t>
        </r>
        <r>
          <rPr>
            <b/>
            <sz val="9"/>
            <color indexed="81"/>
            <rFont val="Tahoma"/>
            <family val="2"/>
          </rPr>
          <t xml:space="preserve"> L/XXX</t>
        </r>
        <r>
          <rPr>
            <sz val="9"/>
            <color indexed="81"/>
            <rFont val="Tahoma"/>
            <family val="2"/>
          </rPr>
          <t>);</t>
        </r>
      </text>
    </comment>
    <comment ref="H36" authorId="0">
      <text>
        <r>
          <rPr>
            <b/>
            <sz val="9"/>
            <color indexed="81"/>
            <rFont val="Tahoma"/>
            <family val="2"/>
          </rPr>
          <t xml:space="preserve">Descrição dos apoios:
0. Balanço
</t>
        </r>
        <r>
          <rPr>
            <sz val="9"/>
            <color indexed="81"/>
            <rFont val="Tahoma"/>
            <family val="2"/>
          </rPr>
          <t xml:space="preserve">Nenhum apoio na seção extrema;
</t>
        </r>
        <r>
          <rPr>
            <b/>
            <sz val="9"/>
            <color indexed="81"/>
            <rFont val="Tahoma"/>
            <family val="2"/>
          </rPr>
          <t xml:space="preserve">1. Apoio
</t>
        </r>
        <r>
          <rPr>
            <sz val="9"/>
            <color indexed="81"/>
            <rFont val="Tahoma"/>
            <family val="2"/>
          </rPr>
          <t xml:space="preserve">Restrição ao deslocamento vertical (em Y) nos nós da alma na seção extrema;
Restrição ao deslocamento no plano da seção transversal (em Z) nos nós da alma na seção extrema;
Restrição ao deslocamento longitudinal (em X) no nó inferior da alma (interseção com a mesa inferior) na seção extrema;
</t>
        </r>
        <r>
          <rPr>
            <b/>
            <sz val="9"/>
            <color indexed="81"/>
            <rFont val="Tahoma"/>
            <family val="2"/>
          </rPr>
          <t xml:space="preserve">2. Engaste
</t>
        </r>
        <r>
          <rPr>
            <sz val="9"/>
            <color indexed="81"/>
            <rFont val="Tahoma"/>
            <family val="2"/>
          </rPr>
          <t>Restrição a todos os deslocamentos em todos os nós da seção extrema;</t>
        </r>
      </text>
    </comment>
    <comment ref="H38" authorId="0">
      <text>
        <r>
          <rPr>
            <b/>
            <sz val="9"/>
            <color indexed="81"/>
            <rFont val="Tahoma"/>
            <family val="2"/>
          </rPr>
          <t xml:space="preserve">Descrição dos apoios:
0. Balanço
</t>
        </r>
        <r>
          <rPr>
            <sz val="9"/>
            <color indexed="81"/>
            <rFont val="Tahoma"/>
            <family val="2"/>
          </rPr>
          <t>Nenhum apoio na seção extrema;</t>
        </r>
        <r>
          <rPr>
            <b/>
            <sz val="9"/>
            <color indexed="81"/>
            <rFont val="Tahoma"/>
            <family val="2"/>
          </rPr>
          <t xml:space="preserve">
1. Apoio
</t>
        </r>
        <r>
          <rPr>
            <sz val="9"/>
            <color indexed="81"/>
            <rFont val="Tahoma"/>
            <family val="2"/>
          </rPr>
          <t>Restrição ao deslocamento vertical (em Y) nos nós da alma na seção extrema;
Restrição ao deslocamento no plano da seção transversal (em Z) nos nós da alma na seção extrema;
Restrição ao deslocamento longitudinal (em X) no nó inferior da alma (interseção com a mesa inferior) na seção extrema;</t>
        </r>
        <r>
          <rPr>
            <b/>
            <sz val="9"/>
            <color indexed="81"/>
            <rFont val="Tahoma"/>
            <family val="2"/>
          </rPr>
          <t xml:space="preserve">
2. Engaste
</t>
        </r>
        <r>
          <rPr>
            <sz val="9"/>
            <color indexed="81"/>
            <rFont val="Tahoma"/>
            <family val="2"/>
          </rPr>
          <t>Restrição a todos os deslocamentos em todos os nós da seção extrema;</t>
        </r>
      </text>
    </comment>
  </commentList>
</comments>
</file>

<file path=xl/sharedStrings.xml><?xml version="1.0" encoding="utf-8"?>
<sst xmlns="http://schemas.openxmlformats.org/spreadsheetml/2006/main" count="129" uniqueCount="103">
  <si>
    <t>d</t>
  </si>
  <si>
    <t>bf</t>
  </si>
  <si>
    <t>tf</t>
  </si>
  <si>
    <t>tw</t>
  </si>
  <si>
    <t>L</t>
  </si>
  <si>
    <t>OpeningDist</t>
  </si>
  <si>
    <t>ElementSize</t>
  </si>
  <si>
    <t>ElasticModulus</t>
  </si>
  <si>
    <t>PoissonCoef</t>
  </si>
  <si>
    <t>YieldStress</t>
  </si>
  <si>
    <t>MassDensity</t>
  </si>
  <si>
    <t>Load</t>
  </si>
  <si>
    <t>SubstepNumber</t>
  </si>
  <si>
    <t>DADOS DO PERFIL</t>
  </si>
  <si>
    <t>DADOS DA ABERTURA</t>
  </si>
  <si>
    <t>Altura</t>
  </si>
  <si>
    <t>Largura</t>
  </si>
  <si>
    <t>Esp. Alma</t>
  </si>
  <si>
    <t>Comprimento</t>
  </si>
  <si>
    <t>m</t>
  </si>
  <si>
    <t>mm</t>
  </si>
  <si>
    <t>Distância</t>
  </si>
  <si>
    <t>Densidade</t>
  </si>
  <si>
    <t>Gravidade</t>
  </si>
  <si>
    <t>GPa</t>
  </si>
  <si>
    <t>MPa</t>
  </si>
  <si>
    <t>kg/m³</t>
  </si>
  <si>
    <t>kN/m</t>
  </si>
  <si>
    <t>NÃO INCLUIR</t>
  </si>
  <si>
    <t>-</t>
  </si>
  <si>
    <t>DADOS DO MATERIAL</t>
  </si>
  <si>
    <t>LeftSupport</t>
  </si>
  <si>
    <t>RightSupport</t>
  </si>
  <si>
    <t>Esp. Mesa</t>
  </si>
  <si>
    <t>Elasticidade</t>
  </si>
  <si>
    <t>Poisson</t>
  </si>
  <si>
    <t>Escoamento</t>
  </si>
  <si>
    <t>Carga</t>
  </si>
  <si>
    <t>Enrijecedor</t>
  </si>
  <si>
    <t>Larg. Enrij.</t>
  </si>
  <si>
    <t>Esp. Enrij.</t>
  </si>
  <si>
    <t>Substeps</t>
  </si>
  <si>
    <t>Elemento</t>
  </si>
  <si>
    <t>Análise</t>
  </si>
  <si>
    <t>Esquerdo</t>
  </si>
  <si>
    <t>Direito</t>
  </si>
  <si>
    <t>AnalysisMode</t>
  </si>
  <si>
    <t>PEQ. DESLOC.</t>
  </si>
  <si>
    <t>OPÇÕES DO FEM</t>
  </si>
  <si>
    <t>Gravity</t>
  </si>
  <si>
    <t>Nome</t>
  </si>
  <si>
    <t>Descrição</t>
  </si>
  <si>
    <t>Data</t>
  </si>
  <si>
    <t>APDL Input</t>
  </si>
  <si>
    <t>v1.0</t>
  </si>
  <si>
    <t>Felipe Barbosa Teixeira</t>
  </si>
  <si>
    <t>AVISOS</t>
  </si>
  <si>
    <t>ENGASTE</t>
  </si>
  <si>
    <t>APOIOS</t>
  </si>
  <si>
    <t>CARGA</t>
  </si>
  <si>
    <t>ARQUIVO</t>
  </si>
  <si>
    <t>Versão</t>
  </si>
  <si>
    <t>Cliente</t>
  </si>
  <si>
    <t>Projeto</t>
  </si>
  <si>
    <t>Arquivo</t>
  </si>
  <si>
    <t>Autor</t>
  </si>
  <si>
    <t>Programa</t>
  </si>
  <si>
    <t>Felipe</t>
  </si>
  <si>
    <t>OBRA</t>
  </si>
  <si>
    <t>Responsável</t>
  </si>
  <si>
    <t>Número</t>
  </si>
  <si>
    <r>
      <t xml:space="preserve">APDL </t>
    </r>
    <r>
      <rPr>
        <sz val="11"/>
        <color theme="9" tint="-0.499984740745262"/>
        <rFont val="Arial Narrow"/>
        <family val="2"/>
      </rPr>
      <t>(visualização)</t>
    </r>
  </si>
  <si>
    <r>
      <t>APDL</t>
    </r>
    <r>
      <rPr>
        <sz val="11"/>
        <color theme="9" tint="-0.499984740745262"/>
        <rFont val="Arial Narrow"/>
        <family val="2"/>
      </rPr>
      <t xml:space="preserve"> (arquivo)</t>
    </r>
  </si>
  <si>
    <t>INCLUIR</t>
  </si>
  <si>
    <t>APOIO</t>
  </si>
  <si>
    <t>BALANÇO</t>
  </si>
  <si>
    <t>GRANDE DESLOC.</t>
  </si>
  <si>
    <t>EIGEN BUCKLING</t>
  </si>
  <si>
    <t>MODAL</t>
  </si>
  <si>
    <t>IMPERF. GEOM.</t>
  </si>
  <si>
    <r>
      <t xml:space="preserve">LEGENDA </t>
    </r>
    <r>
      <rPr>
        <sz val="11"/>
        <color theme="9" tint="-0.499984740745262"/>
        <rFont val="Arial Narrow"/>
        <family val="2"/>
      </rPr>
      <t>(Opções)</t>
    </r>
  </si>
  <si>
    <t>OBSERVAÇÕES</t>
  </si>
  <si>
    <t>As aberturas centralizadas ao longo do comprimento da viga (aberturas extremas equidistantes das respectivas extremidades)</t>
  </si>
  <si>
    <t>INSTRUÇÕES DE USO</t>
  </si>
  <si>
    <t>1. Preencher os campos desta planilha;</t>
  </si>
  <si>
    <t>[No ANSYS, barra de Menus superior]</t>
  </si>
  <si>
    <r>
      <rPr>
        <b/>
        <sz val="11"/>
        <rFont val="Arial Narrow"/>
        <family val="2"/>
      </rPr>
      <t>Carregar*</t>
    </r>
    <r>
      <rPr>
        <sz val="11"/>
        <rFont val="Arial Narrow"/>
        <family val="2"/>
      </rPr>
      <t>: Utilizar o seguinte método:</t>
    </r>
  </si>
  <si>
    <t>3. Carregar* (no ANSYS) o arquivo gerado;</t>
  </si>
  <si>
    <t>File &gt; 
     Read Input From... &gt; 
        [Selecionar o arquivo e apertar OK]</t>
  </si>
  <si>
    <t>Modelo ANSYS: Unidades do SI (N, m, kg, s)</t>
  </si>
  <si>
    <r>
      <t>2. Clicar em "</t>
    </r>
    <r>
      <rPr>
        <b/>
        <sz val="10"/>
        <color rgb="FF0000FF"/>
        <rFont val="Arial Black"/>
        <family val="2"/>
      </rPr>
      <t>GERAR ARQUIVO</t>
    </r>
    <r>
      <rPr>
        <sz val="11"/>
        <rFont val="Arial Narrow"/>
        <family val="2"/>
      </rPr>
      <t>";</t>
    </r>
  </si>
  <si>
    <t>Stiffener</t>
  </si>
  <si>
    <t>bStiff</t>
  </si>
  <si>
    <t>tStiff</t>
  </si>
  <si>
    <t>---</t>
  </si>
  <si>
    <t>ImpGeom</t>
  </si>
  <si>
    <t>Ângulo</t>
  </si>
  <si>
    <t>OpeningHeight</t>
  </si>
  <si>
    <t>OpeningWidth</t>
  </si>
  <si>
    <t>OpeningAngle</t>
  </si>
  <si>
    <t>°</t>
  </si>
  <si>
    <t>VigaAlveolar-R0.mac</t>
  </si>
  <si>
    <t>Fator L/500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</si>
</sst>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sz val="12"/>
      <color theme="1"/>
      <name val="Arial Narrow"/>
      <family val="2"/>
    </font>
    <font>
      <b/>
      <sz val="12"/>
      <color rgb="FF0000FF"/>
      <name val="Arial Narrow"/>
      <family val="2"/>
    </font>
    <font>
      <sz val="10"/>
      <color theme="1" tint="0.499984740745262"/>
      <name val="Arial Narrow"/>
      <family val="2"/>
    </font>
    <font>
      <b/>
      <sz val="11"/>
      <name val="Arial Narrow"/>
      <family val="2"/>
    </font>
    <font>
      <b/>
      <sz val="11"/>
      <color theme="0"/>
      <name val="Arial Narrow"/>
      <family val="2"/>
    </font>
    <font>
      <i/>
      <sz val="9"/>
      <color theme="1"/>
      <name val="Arial Narrow"/>
      <family val="2"/>
    </font>
    <font>
      <i/>
      <sz val="9"/>
      <color theme="1" tint="0.499984740745262"/>
      <name val="Arial Narrow"/>
      <family val="2"/>
    </font>
    <font>
      <i/>
      <sz val="9"/>
      <name val="Arial Narrow"/>
      <family val="2"/>
    </font>
    <font>
      <sz val="12"/>
      <name val="Arial Narrow"/>
      <family val="2"/>
    </font>
    <font>
      <sz val="10"/>
      <name val="Arial Narrow"/>
      <family val="2"/>
    </font>
    <font>
      <b/>
      <sz val="11"/>
      <color theme="6" tint="-0.499984740745262"/>
      <name val="Arial Black"/>
      <family val="2"/>
    </font>
    <font>
      <b/>
      <sz val="11"/>
      <color theme="0"/>
      <name val="Arial Black"/>
      <family val="2"/>
    </font>
    <font>
      <b/>
      <sz val="11"/>
      <color theme="0" tint="-0.14999847407452621"/>
      <name val="Arial Black"/>
      <family val="2"/>
    </font>
    <font>
      <sz val="9"/>
      <color theme="0" tint="-0.499984740745262"/>
      <name val="Arial"/>
      <family val="2"/>
    </font>
    <font>
      <sz val="11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1"/>
      <color theme="9" tint="-0.499984740745262"/>
      <name val="Arial Narrow"/>
      <family val="2"/>
    </font>
    <font>
      <b/>
      <i/>
      <sz val="9"/>
      <color rgb="FF0000FF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7"/>
      <color theme="1"/>
      <name val="Arial Narrow"/>
      <family val="2"/>
    </font>
    <font>
      <i/>
      <sz val="11"/>
      <name val="Arial Narrow"/>
      <family val="2"/>
    </font>
    <font>
      <b/>
      <sz val="10"/>
      <color rgb="FF0000FF"/>
      <name val="Arial Black"/>
      <family val="2"/>
    </font>
    <font>
      <b/>
      <sz val="11"/>
      <color rgb="FF0000FF"/>
      <name val="Arial Black"/>
      <family val="2"/>
    </font>
    <font>
      <sz val="7"/>
      <color theme="4" tint="-0.249977111117893"/>
      <name val="Arial Narrow"/>
      <family val="2"/>
    </font>
    <font>
      <sz val="8"/>
      <color rgb="FF000000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63">
    <border>
      <left/>
      <right/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theme="6"/>
      </left>
      <right style="hair">
        <color theme="6"/>
      </right>
      <top style="hair">
        <color theme="6"/>
      </top>
      <bottom style="hair">
        <color theme="6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1" fontId="4" fillId="2" borderId="1" xfId="0" quotePrefix="1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2" fontId="3" fillId="0" borderId="2" xfId="0" applyNumberFormat="1" applyFont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2" fontId="3" fillId="0" borderId="13" xfId="0" applyNumberFormat="1" applyFont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" fillId="2" borderId="18" xfId="0" applyFont="1" applyFill="1" applyBorder="1" applyAlignment="1">
      <alignment vertical="center"/>
    </xf>
    <xf numFmtId="11" fontId="4" fillId="2" borderId="19" xfId="0" quotePrefix="1" applyNumberFormat="1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vertical="center"/>
    </xf>
    <xf numFmtId="0" fontId="1" fillId="5" borderId="0" xfId="0" applyFont="1" applyFill="1" applyAlignment="1">
      <alignment vertical="center"/>
    </xf>
    <xf numFmtId="0" fontId="2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4" fillId="5" borderId="0" xfId="0" applyFont="1" applyFill="1" applyBorder="1" applyAlignment="1">
      <alignment vertical="center"/>
    </xf>
    <xf numFmtId="0" fontId="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6" fillId="5" borderId="0" xfId="0" applyFont="1" applyFill="1" applyBorder="1" applyAlignment="1">
      <alignment horizontal="center" vertical="center" textRotation="90"/>
    </xf>
    <xf numFmtId="11" fontId="4" fillId="5" borderId="0" xfId="0" quotePrefix="1" applyNumberFormat="1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vertical="center"/>
    </xf>
    <xf numFmtId="0" fontId="7" fillId="5" borderId="0" xfId="0" applyFont="1" applyFill="1" applyBorder="1" applyAlignment="1">
      <alignment horizontal="center" vertical="center"/>
    </xf>
    <xf numFmtId="17" fontId="15" fillId="6" borderId="0" xfId="0" applyNumberFormat="1" applyFont="1" applyFill="1" applyBorder="1" applyAlignment="1">
      <alignment horizontal="center" vertical="center"/>
    </xf>
    <xf numFmtId="0" fontId="3" fillId="5" borderId="0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10" fillId="3" borderId="13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>
      <alignment vertical="center"/>
    </xf>
    <xf numFmtId="0" fontId="4" fillId="7" borderId="0" xfId="0" applyFont="1" applyFill="1" applyAlignment="1">
      <alignment vertical="center"/>
    </xf>
    <xf numFmtId="0" fontId="4" fillId="7" borderId="0" xfId="0" applyFont="1" applyFill="1" applyBorder="1" applyAlignment="1">
      <alignment vertical="center"/>
    </xf>
    <xf numFmtId="0" fontId="16" fillId="9" borderId="39" xfId="0" applyFont="1" applyFill="1" applyBorder="1" applyAlignment="1">
      <alignment horizontal="center" vertical="center"/>
    </xf>
    <xf numFmtId="0" fontId="16" fillId="9" borderId="41" xfId="0" applyFont="1" applyFill="1" applyBorder="1" applyAlignment="1">
      <alignment horizontal="center" vertical="center"/>
    </xf>
    <xf numFmtId="0" fontId="16" fillId="9" borderId="38" xfId="0" applyFont="1" applyFill="1" applyBorder="1" applyAlignment="1">
      <alignment horizontal="center" vertical="center"/>
    </xf>
    <xf numFmtId="0" fontId="16" fillId="9" borderId="40" xfId="0" applyFont="1" applyFill="1" applyBorder="1" applyAlignment="1">
      <alignment horizontal="center" vertical="center"/>
    </xf>
    <xf numFmtId="0" fontId="4" fillId="9" borderId="37" xfId="0" applyFont="1" applyFill="1" applyBorder="1" applyAlignment="1">
      <alignment vertical="center"/>
    </xf>
    <xf numFmtId="0" fontId="2" fillId="9" borderId="31" xfId="0" applyFont="1" applyFill="1" applyBorder="1" applyAlignment="1">
      <alignment vertical="center"/>
    </xf>
    <xf numFmtId="0" fontId="4" fillId="9" borderId="31" xfId="0" applyFont="1" applyFill="1" applyBorder="1" applyAlignment="1">
      <alignment vertical="center"/>
    </xf>
    <xf numFmtId="0" fontId="2" fillId="9" borderId="37" xfId="0" applyFont="1" applyFill="1" applyBorder="1" applyAlignment="1">
      <alignment vertical="center"/>
    </xf>
    <xf numFmtId="0" fontId="4" fillId="9" borderId="42" xfId="0" applyFont="1" applyFill="1" applyBorder="1" applyAlignment="1">
      <alignment vertical="center"/>
    </xf>
    <xf numFmtId="0" fontId="4" fillId="9" borderId="35" xfId="0" applyFont="1" applyFill="1" applyBorder="1" applyAlignment="1">
      <alignment vertical="center"/>
    </xf>
    <xf numFmtId="0" fontId="18" fillId="0" borderId="38" xfId="0" applyFont="1" applyBorder="1" applyAlignment="1">
      <alignment vertical="center"/>
    </xf>
    <xf numFmtId="0" fontId="18" fillId="0" borderId="39" xfId="0" applyFont="1" applyBorder="1" applyAlignment="1">
      <alignment vertical="center"/>
    </xf>
    <xf numFmtId="0" fontId="18" fillId="9" borderId="37" xfId="0" applyFont="1" applyFill="1" applyBorder="1" applyAlignment="1">
      <alignment vertical="center"/>
    </xf>
    <xf numFmtId="0" fontId="18" fillId="9" borderId="31" xfId="0" applyFont="1" applyFill="1" applyBorder="1" applyAlignment="1">
      <alignment vertical="center"/>
    </xf>
    <xf numFmtId="0" fontId="20" fillId="0" borderId="8" xfId="0" applyFont="1" applyFill="1" applyBorder="1" applyAlignment="1">
      <alignment horizontal="center" vertical="center"/>
    </xf>
    <xf numFmtId="0" fontId="20" fillId="0" borderId="14" xfId="0" applyFont="1" applyFill="1" applyBorder="1" applyAlignment="1">
      <alignment horizontal="center" vertical="center"/>
    </xf>
    <xf numFmtId="0" fontId="18" fillId="7" borderId="0" xfId="0" applyFont="1" applyFill="1" applyBorder="1" applyAlignment="1">
      <alignment vertical="center" wrapText="1"/>
    </xf>
    <xf numFmtId="0" fontId="17" fillId="7" borderId="0" xfId="0" applyFont="1" applyFill="1" applyBorder="1" applyAlignment="1">
      <alignment vertical="center" textRotation="90"/>
    </xf>
    <xf numFmtId="0" fontId="2" fillId="3" borderId="57" xfId="0" applyFont="1" applyFill="1" applyBorder="1" applyAlignment="1">
      <alignment vertical="center"/>
    </xf>
    <xf numFmtId="0" fontId="4" fillId="2" borderId="19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4" fillId="2" borderId="59" xfId="0" applyFont="1" applyFill="1" applyBorder="1" applyAlignment="1">
      <alignment vertical="center"/>
    </xf>
    <xf numFmtId="11" fontId="4" fillId="2" borderId="59" xfId="0" quotePrefix="1" applyNumberFormat="1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7" fillId="12" borderId="14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164" fontId="3" fillId="0" borderId="13" xfId="0" applyNumberFormat="1" applyFont="1" applyFill="1" applyBorder="1" applyAlignment="1">
      <alignment horizontal="center" vertical="center"/>
    </xf>
    <xf numFmtId="0" fontId="18" fillId="0" borderId="38" xfId="0" applyFont="1" applyFill="1" applyBorder="1" applyAlignment="1">
      <alignment vertical="center"/>
    </xf>
    <xf numFmtId="0" fontId="11" fillId="0" borderId="38" xfId="0" applyFont="1" applyFill="1" applyBorder="1" applyAlignment="1">
      <alignment vertical="center"/>
    </xf>
    <xf numFmtId="0" fontId="18" fillId="0" borderId="39" xfId="0" applyFont="1" applyFill="1" applyBorder="1" applyAlignment="1">
      <alignment vertical="center"/>
    </xf>
    <xf numFmtId="0" fontId="18" fillId="0" borderId="31" xfId="0" applyFont="1" applyFill="1" applyBorder="1" applyAlignment="1">
      <alignment vertical="center"/>
    </xf>
    <xf numFmtId="164" fontId="3" fillId="0" borderId="2" xfId="0" applyNumberFormat="1" applyFont="1" applyBorder="1" applyAlignment="1">
      <alignment horizontal="center" vertical="center"/>
    </xf>
    <xf numFmtId="0" fontId="16" fillId="9" borderId="45" xfId="0" applyFont="1" applyFill="1" applyBorder="1" applyAlignment="1">
      <alignment horizontal="left" vertical="center"/>
    </xf>
    <xf numFmtId="0" fontId="16" fillId="9" borderId="6" xfId="0" applyFont="1" applyFill="1" applyBorder="1" applyAlignment="1">
      <alignment horizontal="left" vertical="center"/>
    </xf>
    <xf numFmtId="0" fontId="16" fillId="9" borderId="46" xfId="0" applyFont="1" applyFill="1" applyBorder="1" applyAlignment="1">
      <alignment horizontal="left" vertical="center"/>
    </xf>
    <xf numFmtId="0" fontId="24" fillId="9" borderId="37" xfId="0" applyFont="1" applyFill="1" applyBorder="1" applyAlignment="1">
      <alignment horizontal="left" vertical="center"/>
    </xf>
    <xf numFmtId="0" fontId="24" fillId="9" borderId="0" xfId="0" applyFont="1" applyFill="1" applyBorder="1" applyAlignment="1">
      <alignment horizontal="left" vertical="center"/>
    </xf>
    <xf numFmtId="0" fontId="24" fillId="9" borderId="31" xfId="0" applyFont="1" applyFill="1" applyBorder="1" applyAlignment="1">
      <alignment horizontal="left" vertical="center"/>
    </xf>
    <xf numFmtId="0" fontId="16" fillId="9" borderId="38" xfId="0" applyFont="1" applyFill="1" applyBorder="1" applyAlignment="1">
      <alignment horizontal="left" vertical="center" wrapText="1"/>
    </xf>
    <xf numFmtId="0" fontId="16" fillId="9" borderId="4" xfId="0" applyFont="1" applyFill="1" applyBorder="1" applyAlignment="1">
      <alignment horizontal="left" vertical="center" wrapText="1"/>
    </xf>
    <xf numFmtId="0" fontId="16" fillId="9" borderId="39" xfId="0" applyFont="1" applyFill="1" applyBorder="1" applyAlignment="1">
      <alignment horizontal="left" vertical="center" wrapText="1"/>
    </xf>
    <xf numFmtId="0" fontId="16" fillId="9" borderId="51" xfId="0" applyFont="1" applyFill="1" applyBorder="1" applyAlignment="1">
      <alignment horizontal="left" vertical="center" wrapText="1"/>
    </xf>
    <xf numFmtId="0" fontId="16" fillId="9" borderId="5" xfId="0" applyFont="1" applyFill="1" applyBorder="1" applyAlignment="1">
      <alignment horizontal="left" vertical="center" wrapText="1"/>
    </xf>
    <xf numFmtId="0" fontId="16" fillId="9" borderId="52" xfId="0" applyFont="1" applyFill="1" applyBorder="1" applyAlignment="1">
      <alignment horizontal="left" vertical="center" wrapText="1"/>
    </xf>
    <xf numFmtId="0" fontId="16" fillId="9" borderId="37" xfId="0" applyFont="1" applyFill="1" applyBorder="1" applyAlignment="1">
      <alignment horizontal="left" vertical="center" wrapText="1"/>
    </xf>
    <xf numFmtId="0" fontId="16" fillId="9" borderId="0" xfId="0" applyFont="1" applyFill="1" applyBorder="1" applyAlignment="1">
      <alignment horizontal="left" vertical="center" wrapText="1"/>
    </xf>
    <xf numFmtId="0" fontId="16" fillId="9" borderId="31" xfId="0" applyFont="1" applyFill="1" applyBorder="1" applyAlignment="1">
      <alignment horizontal="left" vertical="center" wrapText="1"/>
    </xf>
    <xf numFmtId="0" fontId="16" fillId="9" borderId="42" xfId="0" applyFont="1" applyFill="1" applyBorder="1" applyAlignment="1">
      <alignment horizontal="left" vertical="center" wrapText="1"/>
    </xf>
    <xf numFmtId="0" fontId="16" fillId="9" borderId="34" xfId="0" applyFont="1" applyFill="1" applyBorder="1" applyAlignment="1">
      <alignment horizontal="left" vertical="center" wrapText="1"/>
    </xf>
    <xf numFmtId="0" fontId="16" fillId="9" borderId="35" xfId="0" applyFont="1" applyFill="1" applyBorder="1" applyAlignment="1">
      <alignment horizontal="left" vertical="center" wrapText="1"/>
    </xf>
    <xf numFmtId="0" fontId="16" fillId="9" borderId="38" xfId="0" applyFont="1" applyFill="1" applyBorder="1" applyAlignment="1">
      <alignment horizontal="left" vertical="center"/>
    </xf>
    <xf numFmtId="0" fontId="16" fillId="9" borderId="4" xfId="0" applyFont="1" applyFill="1" applyBorder="1" applyAlignment="1">
      <alignment horizontal="left" vertical="center"/>
    </xf>
    <xf numFmtId="0" fontId="16" fillId="9" borderId="39" xfId="0" applyFont="1" applyFill="1" applyBorder="1" applyAlignment="1">
      <alignment horizontal="left" vertical="center"/>
    </xf>
    <xf numFmtId="0" fontId="17" fillId="8" borderId="43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7" xfId="0" applyFont="1" applyFill="1" applyBorder="1" applyAlignment="1">
      <alignment horizontal="center" vertical="center"/>
    </xf>
    <xf numFmtId="0" fontId="17" fillId="8" borderId="48" xfId="0" applyFont="1" applyFill="1" applyBorder="1" applyAlignment="1">
      <alignment horizontal="center" vertical="center"/>
    </xf>
    <xf numFmtId="0" fontId="17" fillId="8" borderId="49" xfId="0" applyFont="1" applyFill="1" applyBorder="1" applyAlignment="1">
      <alignment horizontal="center" vertical="center"/>
    </xf>
    <xf numFmtId="0" fontId="23" fillId="0" borderId="27" xfId="0" applyFont="1" applyBorder="1" applyAlignment="1">
      <alignment horizontal="center" vertical="center" wrapText="1"/>
    </xf>
    <xf numFmtId="0" fontId="23" fillId="0" borderId="28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17" fillId="8" borderId="26" xfId="0" applyFont="1" applyFill="1" applyBorder="1" applyAlignment="1">
      <alignment horizontal="center" vertical="center" textRotation="90"/>
    </xf>
    <xf numFmtId="0" fontId="17" fillId="8" borderId="30" xfId="0" applyFont="1" applyFill="1" applyBorder="1" applyAlignment="1">
      <alignment horizontal="center" vertical="center" textRotation="90"/>
    </xf>
    <xf numFmtId="0" fontId="17" fillId="8" borderId="32" xfId="0" applyFont="1" applyFill="1" applyBorder="1" applyAlignment="1">
      <alignment horizontal="center" vertical="center" textRotation="90"/>
    </xf>
    <xf numFmtId="0" fontId="16" fillId="9" borderId="38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16" fillId="9" borderId="39" xfId="0" applyFont="1" applyFill="1" applyBorder="1" applyAlignment="1">
      <alignment horizontal="center" vertical="center"/>
    </xf>
    <xf numFmtId="0" fontId="16" fillId="9" borderId="38" xfId="0" applyFont="1" applyFill="1" applyBorder="1" applyAlignment="1">
      <alignment horizontal="center" vertical="center" wrapText="1"/>
    </xf>
    <xf numFmtId="0" fontId="16" fillId="9" borderId="4" xfId="0" applyFont="1" applyFill="1" applyBorder="1" applyAlignment="1">
      <alignment horizontal="center" vertical="center" wrapText="1"/>
    </xf>
    <xf numFmtId="0" fontId="16" fillId="9" borderId="39" xfId="0" applyFont="1" applyFill="1" applyBorder="1" applyAlignment="1">
      <alignment horizontal="center" vertical="center" wrapText="1"/>
    </xf>
    <xf numFmtId="0" fontId="16" fillId="9" borderId="40" xfId="0" applyFont="1" applyFill="1" applyBorder="1" applyAlignment="1">
      <alignment horizontal="center" vertical="center" wrapText="1"/>
    </xf>
    <xf numFmtId="0" fontId="16" fillId="9" borderId="50" xfId="0" applyFont="1" applyFill="1" applyBorder="1" applyAlignment="1">
      <alignment horizontal="center" vertical="center" wrapText="1"/>
    </xf>
    <xf numFmtId="0" fontId="16" fillId="9" borderId="41" xfId="0" applyFont="1" applyFill="1" applyBorder="1" applyAlignment="1">
      <alignment horizontal="center" vertical="center" wrapText="1"/>
    </xf>
    <xf numFmtId="0" fontId="18" fillId="0" borderId="38" xfId="0" applyFont="1" applyBorder="1" applyAlignment="1">
      <alignment horizontal="left" vertical="center"/>
    </xf>
    <xf numFmtId="0" fontId="18" fillId="0" borderId="39" xfId="0" applyFont="1" applyBorder="1" applyAlignment="1">
      <alignment horizontal="left" vertical="center"/>
    </xf>
    <xf numFmtId="0" fontId="17" fillId="8" borderId="36" xfId="0" applyFont="1" applyFill="1" applyBorder="1" applyAlignment="1">
      <alignment horizontal="center" vertical="center"/>
    </xf>
    <xf numFmtId="0" fontId="17" fillId="8" borderId="29" xfId="0" applyFont="1" applyFill="1" applyBorder="1" applyAlignment="1">
      <alignment horizontal="center" vertical="center"/>
    </xf>
    <xf numFmtId="0" fontId="17" fillId="8" borderId="37" xfId="0" applyFont="1" applyFill="1" applyBorder="1" applyAlignment="1">
      <alignment horizontal="center" vertical="center"/>
    </xf>
    <xf numFmtId="0" fontId="17" fillId="8" borderId="31" xfId="0" applyFont="1" applyFill="1" applyBorder="1" applyAlignment="1">
      <alignment horizontal="center" vertical="center"/>
    </xf>
    <xf numFmtId="0" fontId="12" fillId="4" borderId="53" xfId="0" applyFont="1" applyFill="1" applyBorder="1" applyAlignment="1">
      <alignment horizontal="center" vertical="center" textRotation="90"/>
    </xf>
    <xf numFmtId="0" fontId="13" fillId="11" borderId="11" xfId="0" applyFont="1" applyFill="1" applyBorder="1" applyAlignment="1">
      <alignment horizontal="center" vertical="center" textRotation="90"/>
    </xf>
    <xf numFmtId="0" fontId="13" fillId="11" borderId="12" xfId="0" applyFont="1" applyFill="1" applyBorder="1" applyAlignment="1">
      <alignment horizontal="center" vertical="center" textRotation="90"/>
    </xf>
    <xf numFmtId="0" fontId="13" fillId="11" borderId="15" xfId="0" applyFont="1" applyFill="1" applyBorder="1" applyAlignment="1">
      <alignment horizontal="center" vertical="center" textRotation="90"/>
    </xf>
    <xf numFmtId="0" fontId="15" fillId="6" borderId="0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left" vertical="top"/>
    </xf>
    <xf numFmtId="0" fontId="2" fillId="3" borderId="3" xfId="0" applyFont="1" applyFill="1" applyBorder="1" applyAlignment="1">
      <alignment horizontal="left" vertical="top"/>
    </xf>
    <xf numFmtId="0" fontId="3" fillId="0" borderId="13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14" fillId="10" borderId="11" xfId="0" applyFont="1" applyFill="1" applyBorder="1" applyAlignment="1">
      <alignment horizontal="center" vertical="center" textRotation="90"/>
    </xf>
    <xf numFmtId="0" fontId="14" fillId="10" borderId="12" xfId="0" applyFont="1" applyFill="1" applyBorder="1" applyAlignment="1">
      <alignment horizontal="center" vertical="center" textRotation="90"/>
    </xf>
    <xf numFmtId="0" fontId="14" fillId="10" borderId="15" xfId="0" applyFont="1" applyFill="1" applyBorder="1" applyAlignment="1">
      <alignment horizontal="center" vertical="center" textRotation="90"/>
    </xf>
    <xf numFmtId="0" fontId="11" fillId="3" borderId="16" xfId="0" applyFont="1" applyFill="1" applyBorder="1" applyAlignment="1">
      <alignment horizontal="left" vertical="center"/>
    </xf>
    <xf numFmtId="0" fontId="11" fillId="3" borderId="17" xfId="0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11" fillId="3" borderId="8" xfId="0" applyFont="1" applyFill="1" applyBorder="1" applyAlignment="1">
      <alignment horizontal="left" vertical="center"/>
    </xf>
    <xf numFmtId="0" fontId="11" fillId="0" borderId="53" xfId="0" applyFont="1" applyBorder="1" applyAlignment="1">
      <alignment horizontal="center" vertical="center"/>
    </xf>
    <xf numFmtId="0" fontId="14" fillId="10" borderId="54" xfId="0" applyFont="1" applyFill="1" applyBorder="1" applyAlignment="1">
      <alignment horizontal="center" vertical="center" textRotation="90"/>
    </xf>
    <xf numFmtId="0" fontId="14" fillId="10" borderId="55" xfId="0" applyFont="1" applyFill="1" applyBorder="1" applyAlignment="1">
      <alignment horizontal="center" vertical="center" textRotation="90"/>
    </xf>
    <xf numFmtId="0" fontId="14" fillId="10" borderId="56" xfId="0" applyFont="1" applyFill="1" applyBorder="1" applyAlignment="1">
      <alignment horizontal="center" vertical="center" textRotation="90"/>
    </xf>
    <xf numFmtId="0" fontId="27" fillId="3" borderId="60" xfId="0" applyFont="1" applyFill="1" applyBorder="1" applyAlignment="1">
      <alignment horizontal="right" vertical="center"/>
    </xf>
    <xf numFmtId="0" fontId="27" fillId="3" borderId="61" xfId="0" applyFont="1" applyFill="1" applyBorder="1" applyAlignment="1">
      <alignment horizontal="right" vertical="center"/>
    </xf>
    <xf numFmtId="0" fontId="27" fillId="3" borderId="62" xfId="0" applyFont="1" applyFill="1" applyBorder="1" applyAlignment="1">
      <alignment horizontal="right" vertical="center"/>
    </xf>
    <xf numFmtId="0" fontId="3" fillId="0" borderId="13" xfId="0" quotePrefix="1" applyFont="1" applyBorder="1" applyAlignment="1">
      <alignment horizontal="left" vertical="center"/>
    </xf>
    <xf numFmtId="0" fontId="10" fillId="3" borderId="16" xfId="0" applyFont="1" applyFill="1" applyBorder="1" applyAlignment="1">
      <alignment horizontal="left" vertical="center"/>
    </xf>
    <xf numFmtId="0" fontId="10" fillId="3" borderId="17" xfId="0" applyFont="1" applyFill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2" xfId="0" quotePrefix="1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top" wrapText="1"/>
    </xf>
    <xf numFmtId="0" fontId="3" fillId="0" borderId="23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25" xfId="0" applyFont="1" applyBorder="1" applyAlignment="1">
      <alignment horizontal="left" vertical="top" wrapText="1"/>
    </xf>
  </cellXfs>
  <cellStyles count="1">
    <cellStyle name="Normal" xfId="0" builtinId="0"/>
  </cellStyles>
  <dxfs count="16">
    <dxf>
      <font>
        <b val="0"/>
        <i/>
        <color theme="1" tint="0.34998626667073579"/>
      </font>
      <fill>
        <patternFill patternType="gray0625">
          <fgColor theme="0" tint="-0.24994659260841701"/>
          <bgColor theme="0" tint="-4.9989318521683403E-2"/>
        </patternFill>
      </fill>
    </dxf>
    <dxf>
      <font>
        <b val="0"/>
        <i/>
        <color theme="1" tint="0.34998626667073579"/>
      </font>
      <fill>
        <patternFill patternType="gray0625">
          <fgColor theme="0" tint="-0.24994659260841701"/>
          <bgColor theme="0" tint="-4.9989318521683403E-2"/>
        </patternFill>
      </fill>
    </dxf>
    <dxf>
      <font>
        <b val="0"/>
        <i val="0"/>
        <color theme="0"/>
      </font>
      <fill>
        <patternFill>
          <bgColor rgb="FFFF0000"/>
        </patternFill>
      </fill>
      <border>
        <left style="dotted">
          <color theme="5" tint="-0.499984740745262"/>
        </left>
        <right style="dotted">
          <color theme="5" tint="-0.499984740745262"/>
        </right>
        <top style="dotted">
          <color theme="5" tint="-0.499984740745262"/>
        </top>
        <bottom style="dotted">
          <color theme="5" tint="-0.499984740745262"/>
        </bottom>
        <vertical/>
        <horizontal/>
      </border>
    </dxf>
    <dxf>
      <font>
        <b/>
        <i val="0"/>
        <color rgb="FFFF0000"/>
      </font>
      <fill>
        <patternFill>
          <bgColor theme="5" tint="0.79998168889431442"/>
        </pattern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  <vertical/>
        <horizontal/>
      </border>
    </dxf>
    <dxf>
      <font>
        <color rgb="FF0000FF"/>
      </font>
      <numFmt numFmtId="164" formatCode="0.0"/>
    </dxf>
    <dxf>
      <font>
        <color rgb="FF006600"/>
      </font>
      <numFmt numFmtId="2" formatCode="0.00"/>
    </dxf>
    <dxf>
      <font>
        <color rgb="FFFF0000"/>
      </font>
      <numFmt numFmtId="165" formatCode="0.000"/>
    </dxf>
    <dxf>
      <font>
        <color rgb="FF0000FF"/>
      </font>
      <numFmt numFmtId="164" formatCode="0.0"/>
    </dxf>
    <dxf>
      <font>
        <color rgb="FF006600"/>
      </font>
      <numFmt numFmtId="2" formatCode="0.00"/>
    </dxf>
    <dxf>
      <font>
        <color rgb="FFFF0000"/>
      </font>
      <numFmt numFmtId="165" formatCode="0.000"/>
    </dxf>
    <dxf>
      <font>
        <b val="0"/>
        <i/>
        <color theme="1" tint="0.34998626667073579"/>
      </font>
      <fill>
        <patternFill patternType="gray0625">
          <fgColor theme="0" tint="-0.24994659260841701"/>
          <bgColor theme="0" tint="-4.9989318521683403E-2"/>
        </patternFill>
      </fill>
    </dxf>
    <dxf>
      <font>
        <b val="0"/>
        <i/>
        <color theme="1" tint="0.34998626667073579"/>
      </font>
      <fill>
        <patternFill patternType="gray0625">
          <fgColor theme="0" tint="-0.24994659260841701"/>
          <bgColor theme="0" tint="-4.9989318521683403E-2"/>
        </patternFill>
      </fill>
    </dxf>
    <dxf>
      <font>
        <b val="0"/>
        <i/>
        <color theme="1" tint="0.34998626667073579"/>
      </font>
      <fill>
        <patternFill patternType="gray0625">
          <fgColor theme="0" tint="-0.24994659260841701"/>
          <bgColor theme="0" tint="-4.9989318521683403E-2"/>
        </patternFill>
      </fill>
    </dxf>
    <dxf>
      <font>
        <color rgb="FF0000FF"/>
      </font>
      <numFmt numFmtId="164" formatCode="0.0"/>
    </dxf>
    <dxf>
      <font>
        <color rgb="FF006600"/>
      </font>
      <numFmt numFmtId="2" formatCode="0.00"/>
    </dxf>
    <dxf>
      <font>
        <color rgb="FFFF0000"/>
      </font>
      <numFmt numFmtId="165" formatCode="0.000"/>
    </dxf>
  </dxfs>
  <tableStyles count="0" defaultTableStyle="TableStyleMedium2" defaultPivotStyle="PivotStyleLight16"/>
  <colors>
    <mruColors>
      <color rgb="FF0000F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H$25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</xdr:colOff>
          <xdr:row>25</xdr:row>
          <xdr:rowOff>76200</xdr:rowOff>
        </xdr:from>
        <xdr:to>
          <xdr:col>18</xdr:col>
          <xdr:colOff>1647825</xdr:colOff>
          <xdr:row>26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Arial Black"/>
                </a:rPr>
                <a:t>GERAR ARQUIVO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HEXÁGONO REGULAR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T52"/>
  <sheetViews>
    <sheetView tabSelected="1" zoomScaleNormal="100" workbookViewId="0">
      <selection activeCell="I13" sqref="I13"/>
    </sheetView>
  </sheetViews>
  <sheetFormatPr defaultRowHeight="16.5" x14ac:dyDescent="0.25"/>
  <cols>
    <col min="1" max="1" width="1.42578125" style="1" customWidth="1"/>
    <col min="2" max="2" width="4.7109375" style="1" customWidth="1"/>
    <col min="3" max="3" width="12.7109375" style="1" customWidth="1"/>
    <col min="4" max="4" width="21.28515625" style="2" customWidth="1"/>
    <col min="5" max="5" width="5.7109375" style="8" customWidth="1"/>
    <col min="6" max="6" width="2.7109375" style="8" customWidth="1"/>
    <col min="7" max="7" width="4.7109375" style="10" customWidth="1"/>
    <col min="8" max="8" width="12.7109375" style="1" customWidth="1"/>
    <col min="9" max="9" width="21.28515625" style="1" customWidth="1"/>
    <col min="10" max="10" width="5.7109375" style="6" customWidth="1"/>
    <col min="11" max="12" width="1.42578125" style="1" customWidth="1"/>
    <col min="13" max="13" width="4.7109375" style="1" customWidth="1"/>
    <col min="14" max="16" width="11.28515625" style="1" customWidth="1"/>
    <col min="17" max="17" width="1.42578125" style="1" customWidth="1"/>
    <col min="18" max="19" width="25.7109375" style="1" customWidth="1"/>
    <col min="20" max="20" width="1.42578125" style="1" customWidth="1"/>
    <col min="21" max="16384" width="9.140625" style="1"/>
  </cols>
  <sheetData>
    <row r="1" spans="1:20" ht="7.5" customHeight="1" thickBot="1" x14ac:dyDescent="0.3">
      <c r="A1" s="25"/>
      <c r="B1" s="25"/>
      <c r="C1" s="25"/>
      <c r="D1" s="29"/>
      <c r="E1" s="30"/>
      <c r="F1" s="30"/>
      <c r="G1" s="31"/>
      <c r="H1" s="25"/>
      <c r="I1" s="25"/>
      <c r="J1" s="32"/>
      <c r="K1" s="25"/>
      <c r="L1" s="43"/>
      <c r="M1" s="43"/>
      <c r="N1" s="43"/>
      <c r="O1" s="43"/>
      <c r="P1" s="43"/>
      <c r="Q1" s="43"/>
      <c r="R1" s="43"/>
      <c r="S1" s="43"/>
      <c r="T1" s="43"/>
    </row>
    <row r="2" spans="1:20" ht="12" customHeight="1" x14ac:dyDescent="0.25">
      <c r="A2" s="25"/>
      <c r="B2" s="136" t="s">
        <v>53</v>
      </c>
      <c r="C2" s="136"/>
      <c r="D2" s="136" t="s">
        <v>101</v>
      </c>
      <c r="E2" s="136"/>
      <c r="F2" s="136" t="s">
        <v>54</v>
      </c>
      <c r="G2" s="136"/>
      <c r="H2" s="38">
        <v>42005</v>
      </c>
      <c r="I2" s="136" t="s">
        <v>55</v>
      </c>
      <c r="J2" s="136"/>
      <c r="K2" s="25"/>
      <c r="L2" s="43"/>
      <c r="M2" s="114" t="s">
        <v>71</v>
      </c>
      <c r="N2" s="105" t="str">
        <f ca="1">R4 &amp; CHAR(10) &amp; R5 &amp; CHAR(10) &amp; R6 &amp; CHAR(10) &amp; R7 &amp; CHAR(10) &amp; R8 &amp; CHAR(10) &amp; R9 &amp; CHAR(10) &amp; R10 &amp; CHAR(10) &amp; R11 &amp; CHAR(10) &amp; R12 &amp; CHAR(10) &amp; R13 &amp; CHAR(10) &amp; R14 &amp; CHAR(10) &amp; R15 &amp; CHAR(10) &amp; R16 &amp; CHAR(10) &amp; R17 &amp; CHAR(10) &amp; R18 &amp; CHAR(10) &amp; R19 &amp; CHAR(10) &amp; R20 &amp; CHAR(10) &amp; R21 &amp; CHAR(10) &amp; R22 &amp; CHAR(10) &amp; R23 &amp; CHAR(10) &amp; R24 &amp; CHAR(10) &amp; R25 &amp; CHAR(10) &amp; S12 &amp; CHAR(10) &amp; S13 &amp; CHAR(10) &amp; S14 &amp; CHAR(10) &amp; S15 &amp; CHAR(10) &amp; S16 &amp; CHAR(10) &amp; S17 &amp; CHAR(10) &amp; S18 &amp; CHAR(10) &amp; S19 &amp; CHAR(10) &amp; S20 &amp; CHAR(10) &amp; S21 &amp; CHAR(10) &amp; S22 &amp; CHAR(10) &amp; S23 &amp; CHAR(10) &amp; S24 &amp; CHAR(10) &amp; S25</f>
        <v>! VA-DATA_ImpGeom-V0.txt
! ImpGeom
! Fator L/500
! Versão: 0
! --- | --- (---)
! Autor: Felipe
! Responsável: Felipe
! Data: 26/02/15 (19:16:31)
d=228e-3
bf=100e-3
tf=4.9e-3
tw=4.3e-3
L=6.5e0
LeftSupport=2
RightSupport=1
ElasticModulus=200e9
PoissonCoef=0.3
YieldStress=345e6
MassDensity=7850
Load=9.4e3
OpeningHeight=80e-3
OpeningWidth=284.92008e-3
OpeningAngle=120
OpeningDist=320e-3
Stiffener=1
bStiff=20e-3
tStiff=5e-3
Gravity=1
SubstepNumber=50
ElementSize=25e-3
AnalysisMode=4
InitialImperfection=500</v>
      </c>
      <c r="O2" s="106"/>
      <c r="P2" s="107"/>
      <c r="Q2" s="43"/>
      <c r="R2" s="128" t="s">
        <v>72</v>
      </c>
      <c r="S2" s="129"/>
      <c r="T2" s="43"/>
    </row>
    <row r="3" spans="1:20" ht="6" customHeight="1" x14ac:dyDescent="0.25">
      <c r="A3" s="25"/>
      <c r="B3" s="25"/>
      <c r="C3" s="25"/>
      <c r="D3" s="29"/>
      <c r="E3" s="30"/>
      <c r="F3" s="30"/>
      <c r="G3" s="31"/>
      <c r="H3" s="25"/>
      <c r="I3" s="25"/>
      <c r="J3" s="32"/>
      <c r="K3" s="25"/>
      <c r="L3" s="43"/>
      <c r="M3" s="115"/>
      <c r="N3" s="108"/>
      <c r="O3" s="109"/>
      <c r="P3" s="110"/>
      <c r="Q3" s="43"/>
      <c r="R3" s="130"/>
      <c r="S3" s="131"/>
      <c r="T3" s="43"/>
    </row>
    <row r="4" spans="1:20" ht="18" customHeight="1" x14ac:dyDescent="0.25">
      <c r="A4" s="25"/>
      <c r="B4" s="133" t="s">
        <v>60</v>
      </c>
      <c r="C4" s="16" t="s">
        <v>66</v>
      </c>
      <c r="D4" s="146" t="s">
        <v>101</v>
      </c>
      <c r="E4" s="147"/>
      <c r="F4" s="39"/>
      <c r="G4" s="133" t="s">
        <v>68</v>
      </c>
      <c r="H4" s="16" t="s">
        <v>62</v>
      </c>
      <c r="I4" s="160" t="s">
        <v>94</v>
      </c>
      <c r="J4" s="161"/>
      <c r="K4" s="25"/>
      <c r="L4" s="43"/>
      <c r="M4" s="115"/>
      <c r="N4" s="108"/>
      <c r="O4" s="109"/>
      <c r="P4" s="110"/>
      <c r="Q4" s="43"/>
      <c r="R4" s="126" t="str">
        <f xml:space="preserve"> "! " &amp; D9</f>
        <v>! VA-DATA_ImpGeom-V0.txt</v>
      </c>
      <c r="S4" s="127"/>
      <c r="T4" s="43"/>
    </row>
    <row r="5" spans="1:20" ht="18" customHeight="1" x14ac:dyDescent="0.25">
      <c r="A5" s="25"/>
      <c r="B5" s="134"/>
      <c r="C5" s="17" t="s">
        <v>50</v>
      </c>
      <c r="D5" s="139" t="s">
        <v>95</v>
      </c>
      <c r="E5" s="140"/>
      <c r="F5" s="39"/>
      <c r="G5" s="134"/>
      <c r="H5" s="17" t="s">
        <v>63</v>
      </c>
      <c r="I5" s="155" t="s">
        <v>94</v>
      </c>
      <c r="J5" s="140"/>
      <c r="K5" s="25"/>
      <c r="L5" s="43"/>
      <c r="M5" s="115"/>
      <c r="N5" s="108"/>
      <c r="O5" s="109"/>
      <c r="P5" s="110"/>
      <c r="Q5" s="43"/>
      <c r="R5" s="126" t="str">
        <f>"! " &amp; D5</f>
        <v>! ImpGeom</v>
      </c>
      <c r="S5" s="127"/>
      <c r="T5" s="43"/>
    </row>
    <row r="6" spans="1:20" ht="18" customHeight="1" x14ac:dyDescent="0.25">
      <c r="A6" s="25"/>
      <c r="B6" s="134"/>
      <c r="C6" s="137" t="s">
        <v>51</v>
      </c>
      <c r="D6" s="162" t="s">
        <v>102</v>
      </c>
      <c r="E6" s="163"/>
      <c r="F6" s="39"/>
      <c r="G6" s="134"/>
      <c r="H6" s="17" t="s">
        <v>70</v>
      </c>
      <c r="I6" s="155" t="s">
        <v>94</v>
      </c>
      <c r="J6" s="140"/>
      <c r="K6" s="25"/>
      <c r="L6" s="43"/>
      <c r="M6" s="115"/>
      <c r="N6" s="108"/>
      <c r="O6" s="109"/>
      <c r="P6" s="110"/>
      <c r="Q6" s="43"/>
      <c r="R6" s="126" t="str">
        <f xml:space="preserve"> "! " &amp; D6</f>
        <v>! Fator L/500</v>
      </c>
      <c r="S6" s="127"/>
      <c r="T6" s="43"/>
    </row>
    <row r="7" spans="1:20" ht="18" customHeight="1" x14ac:dyDescent="0.25">
      <c r="A7" s="25"/>
      <c r="B7" s="134"/>
      <c r="C7" s="138"/>
      <c r="D7" s="164"/>
      <c r="E7" s="165"/>
      <c r="F7" s="39"/>
      <c r="G7" s="134"/>
      <c r="H7" s="17" t="s">
        <v>65</v>
      </c>
      <c r="I7" s="139" t="s">
        <v>67</v>
      </c>
      <c r="J7" s="140"/>
      <c r="K7" s="25"/>
      <c r="L7" s="43"/>
      <c r="M7" s="115"/>
      <c r="N7" s="108"/>
      <c r="O7" s="109"/>
      <c r="P7" s="110"/>
      <c r="Q7" s="43"/>
      <c r="R7" s="126" t="str">
        <f>"! Versão: " &amp; D8</f>
        <v>! Versão: 0</v>
      </c>
      <c r="S7" s="127"/>
      <c r="T7" s="43"/>
    </row>
    <row r="8" spans="1:20" ht="18" customHeight="1" x14ac:dyDescent="0.25">
      <c r="A8" s="25"/>
      <c r="B8" s="134"/>
      <c r="C8" s="17" t="s">
        <v>61</v>
      </c>
      <c r="D8" s="139">
        <v>0</v>
      </c>
      <c r="E8" s="140"/>
      <c r="F8" s="39"/>
      <c r="G8" s="134"/>
      <c r="H8" s="41" t="s">
        <v>69</v>
      </c>
      <c r="I8" s="158" t="s">
        <v>67</v>
      </c>
      <c r="J8" s="159"/>
      <c r="K8" s="25"/>
      <c r="L8" s="43"/>
      <c r="M8" s="115"/>
      <c r="N8" s="108"/>
      <c r="O8" s="109"/>
      <c r="P8" s="110"/>
      <c r="Q8" s="43"/>
      <c r="R8" s="126" t="str">
        <f xml:space="preserve"> "! " &amp; I4 &amp; " | " &amp; I5 &amp; " (" &amp; I6 &amp; ")"</f>
        <v>! --- | --- (---)</v>
      </c>
      <c r="S8" s="127"/>
      <c r="T8" s="43"/>
    </row>
    <row r="9" spans="1:20" ht="18" customHeight="1" x14ac:dyDescent="0.25">
      <c r="A9" s="25"/>
      <c r="B9" s="135"/>
      <c r="C9" s="40" t="s">
        <v>64</v>
      </c>
      <c r="D9" s="144" t="str">
        <f xml:space="preserve"> "VA-DATA_" &amp; D5 &amp; IF(COUNTA(D8),"-V" &amp; D8,"") &amp; ".txt"</f>
        <v>VA-DATA_ImpGeom-V0.txt</v>
      </c>
      <c r="E9" s="145"/>
      <c r="F9" s="39"/>
      <c r="G9" s="135"/>
      <c r="H9" s="42" t="s">
        <v>52</v>
      </c>
      <c r="I9" s="156" t="str">
        <f ca="1">TEXT(TODAY(),"dd/mm/aaaa")</f>
        <v>26/02/2015</v>
      </c>
      <c r="J9" s="157"/>
      <c r="K9" s="25"/>
      <c r="L9" s="43"/>
      <c r="M9" s="115"/>
      <c r="N9" s="108"/>
      <c r="O9" s="109"/>
      <c r="P9" s="110"/>
      <c r="Q9" s="43"/>
      <c r="R9" s="126" t="str">
        <f xml:space="preserve"> "! Autor: " &amp; I7</f>
        <v>! Autor: Felipe</v>
      </c>
      <c r="S9" s="127"/>
      <c r="T9" s="43"/>
    </row>
    <row r="10" spans="1:20" ht="18" customHeight="1" x14ac:dyDescent="0.25">
      <c r="A10" s="25"/>
      <c r="B10" s="25"/>
      <c r="C10" s="25"/>
      <c r="D10" s="29"/>
      <c r="E10" s="30"/>
      <c r="F10" s="30"/>
      <c r="G10" s="31"/>
      <c r="H10" s="25"/>
      <c r="I10" s="25"/>
      <c r="J10" s="32"/>
      <c r="K10" s="25"/>
      <c r="L10" s="43"/>
      <c r="M10" s="115"/>
      <c r="N10" s="108"/>
      <c r="O10" s="109"/>
      <c r="P10" s="110"/>
      <c r="Q10" s="43"/>
      <c r="R10" s="126" t="str">
        <f xml:space="preserve"> "! Responsável: " &amp; I8</f>
        <v>! Responsável: Felipe</v>
      </c>
      <c r="S10" s="127"/>
      <c r="T10" s="43"/>
    </row>
    <row r="11" spans="1:20" s="3" customFormat="1" ht="18" customHeight="1" x14ac:dyDescent="0.25">
      <c r="A11" s="26"/>
      <c r="B11" s="141" t="s">
        <v>13</v>
      </c>
      <c r="C11" s="16" t="s">
        <v>15</v>
      </c>
      <c r="D11" s="13">
        <f>148+80</f>
        <v>228</v>
      </c>
      <c r="E11" s="61" t="s">
        <v>20</v>
      </c>
      <c r="F11" s="37"/>
      <c r="G11" s="149" t="s">
        <v>14</v>
      </c>
      <c r="H11" s="65" t="s">
        <v>15</v>
      </c>
      <c r="I11" s="9">
        <v>80</v>
      </c>
      <c r="J11" s="61" t="s">
        <v>20</v>
      </c>
      <c r="K11" s="26"/>
      <c r="L11" s="44"/>
      <c r="M11" s="115"/>
      <c r="N11" s="108"/>
      <c r="O11" s="109"/>
      <c r="P11" s="110"/>
      <c r="Q11" s="44"/>
      <c r="R11" s="126" t="str">
        <f ca="1" xml:space="preserve"> "! Data: " &amp; TEXT(TODAY(),"dd/mm/aa") &amp; " (" &amp; TEXT(NOW(),"hh:mm:ss") &amp; ")"</f>
        <v>! Data: 26/02/15 (19:16:31)</v>
      </c>
      <c r="S11" s="127"/>
      <c r="T11" s="44"/>
    </row>
    <row r="12" spans="1:20" s="5" customFormat="1" ht="18" customHeight="1" x14ac:dyDescent="0.25">
      <c r="A12" s="27"/>
      <c r="B12" s="142"/>
      <c r="C12" s="21" t="s">
        <v>0</v>
      </c>
      <c r="D12" s="22" t="str">
        <f>IF(E11="mm","e-3",IF(E11="cm","e-2",IF(E11="m","e0")))</f>
        <v>e-3</v>
      </c>
      <c r="E12" s="23"/>
      <c r="F12" s="35"/>
      <c r="G12" s="150"/>
      <c r="H12" s="66" t="s">
        <v>97</v>
      </c>
      <c r="I12" s="22" t="str">
        <f>IF(J11="mm","e-3",IF(J11="cm","e-2",IF(J11="m","e0")))</f>
        <v>e-3</v>
      </c>
      <c r="J12" s="23"/>
      <c r="K12" s="27"/>
      <c r="L12" s="45"/>
      <c r="M12" s="115"/>
      <c r="N12" s="108"/>
      <c r="O12" s="109"/>
      <c r="P12" s="110"/>
      <c r="Q12" s="45"/>
      <c r="R12" s="51"/>
      <c r="S12" s="53"/>
      <c r="T12" s="45"/>
    </row>
    <row r="13" spans="1:20" s="3" customFormat="1" ht="18" customHeight="1" x14ac:dyDescent="0.25">
      <c r="A13" s="26"/>
      <c r="B13" s="142"/>
      <c r="C13" s="17" t="s">
        <v>16</v>
      </c>
      <c r="D13" s="18">
        <v>100</v>
      </c>
      <c r="E13" s="62" t="s">
        <v>20</v>
      </c>
      <c r="F13" s="37"/>
      <c r="G13" s="150"/>
      <c r="H13" s="67" t="s">
        <v>16</v>
      </c>
      <c r="I13" s="72">
        <v>284.92008054887214</v>
      </c>
      <c r="J13" s="62" t="s">
        <v>20</v>
      </c>
      <c r="K13" s="26"/>
      <c r="L13" s="44"/>
      <c r="M13" s="115"/>
      <c r="N13" s="108"/>
      <c r="O13" s="109"/>
      <c r="P13" s="110"/>
      <c r="Q13" s="44"/>
      <c r="R13" s="57" t="str">
        <f>C12 &amp; "=" &amp; D11 &amp; D12</f>
        <v>d=228e-3</v>
      </c>
      <c r="S13" s="58" t="str">
        <f>H12 &amp; "=" &amp; I11 &amp; I12</f>
        <v>OpeningHeight=80e-3</v>
      </c>
      <c r="T13" s="44"/>
    </row>
    <row r="14" spans="1:20" s="5" customFormat="1" ht="18" customHeight="1" x14ac:dyDescent="0.25">
      <c r="A14" s="27"/>
      <c r="B14" s="142"/>
      <c r="C14" s="21" t="s">
        <v>1</v>
      </c>
      <c r="D14" s="22" t="str">
        <f>IF(E13="mm","e-3",IF(E13="cm","e-2",IF(E13="m","e0")))</f>
        <v>e-3</v>
      </c>
      <c r="E14" s="23"/>
      <c r="F14" s="35"/>
      <c r="G14" s="150"/>
      <c r="H14" s="66" t="s">
        <v>98</v>
      </c>
      <c r="I14" s="22" t="str">
        <f>IF(J13="mm","e-3",IF(J13="cm","e-2",IF(J13="m","e0")))</f>
        <v>e-3</v>
      </c>
      <c r="J14" s="23"/>
      <c r="K14" s="27"/>
      <c r="L14" s="45"/>
      <c r="M14" s="115"/>
      <c r="N14" s="108"/>
      <c r="O14" s="109"/>
      <c r="P14" s="110"/>
      <c r="Q14" s="45"/>
      <c r="R14" s="57" t="str">
        <f>C14 &amp; "=" &amp; D13 &amp; D14</f>
        <v>bf=100e-3</v>
      </c>
      <c r="S14" s="58" t="str">
        <f>H14 &amp; "=" &amp; ROUND(I13,5) &amp; I14</f>
        <v>OpeningWidth=284.92008e-3</v>
      </c>
      <c r="T14" s="45"/>
    </row>
    <row r="15" spans="1:20" s="3" customFormat="1" ht="18" customHeight="1" x14ac:dyDescent="0.25">
      <c r="A15" s="26"/>
      <c r="B15" s="142"/>
      <c r="C15" s="17" t="s">
        <v>33</v>
      </c>
      <c r="D15" s="18">
        <v>4.9000000000000004</v>
      </c>
      <c r="E15" s="62" t="s">
        <v>20</v>
      </c>
      <c r="F15" s="37"/>
      <c r="G15" s="150"/>
      <c r="H15" s="67" t="s">
        <v>96</v>
      </c>
      <c r="I15" s="73">
        <v>120</v>
      </c>
      <c r="J15" s="71" t="s">
        <v>100</v>
      </c>
      <c r="K15" s="26"/>
      <c r="L15" s="44"/>
      <c r="M15" s="115"/>
      <c r="N15" s="108"/>
      <c r="O15" s="109"/>
      <c r="P15" s="110"/>
      <c r="Q15" s="44"/>
      <c r="R15" s="57" t="str">
        <f>C16 &amp; "=" &amp; D15 &amp; D16</f>
        <v>tf=4.9e-3</v>
      </c>
      <c r="S15" s="58" t="str">
        <f>H16 &amp; "=" &amp; I15</f>
        <v>OpeningAngle=120</v>
      </c>
      <c r="T15" s="44"/>
    </row>
    <row r="16" spans="1:20" s="5" customFormat="1" ht="18" customHeight="1" x14ac:dyDescent="0.25">
      <c r="A16" s="27"/>
      <c r="B16" s="142"/>
      <c r="C16" s="21" t="s">
        <v>2</v>
      </c>
      <c r="D16" s="22" t="str">
        <f>IF(E15="mm","e-3",IF(E15="cm","e-2",IF(E15="m","e0")))</f>
        <v>e-3</v>
      </c>
      <c r="E16" s="23"/>
      <c r="F16" s="35"/>
      <c r="G16" s="150"/>
      <c r="H16" s="66" t="s">
        <v>99</v>
      </c>
      <c r="I16" s="22"/>
      <c r="J16" s="23"/>
      <c r="K16" s="27"/>
      <c r="L16" s="45"/>
      <c r="M16" s="115"/>
      <c r="N16" s="108"/>
      <c r="O16" s="109"/>
      <c r="P16" s="110"/>
      <c r="Q16" s="45"/>
      <c r="R16" s="57" t="str">
        <f>C18 &amp; "=" &amp; D17 &amp; D18</f>
        <v>tw=4.3e-3</v>
      </c>
      <c r="S16" s="58" t="str">
        <f>H18 &amp; "=" &amp; I17 &amp; I18</f>
        <v>OpeningDist=320e-3</v>
      </c>
      <c r="T16" s="45"/>
    </row>
    <row r="17" spans="1:20" s="3" customFormat="1" ht="18" customHeight="1" x14ac:dyDescent="0.25">
      <c r="A17" s="26"/>
      <c r="B17" s="142"/>
      <c r="C17" s="17" t="s">
        <v>17</v>
      </c>
      <c r="D17" s="18">
        <v>4.3</v>
      </c>
      <c r="E17" s="62" t="s">
        <v>20</v>
      </c>
      <c r="F17" s="37"/>
      <c r="G17" s="150"/>
      <c r="H17" s="67" t="s">
        <v>21</v>
      </c>
      <c r="I17" s="20">
        <v>320</v>
      </c>
      <c r="J17" s="62" t="s">
        <v>20</v>
      </c>
      <c r="K17" s="26"/>
      <c r="L17" s="44"/>
      <c r="M17" s="115"/>
      <c r="N17" s="108"/>
      <c r="O17" s="109"/>
      <c r="P17" s="110"/>
      <c r="Q17" s="44"/>
      <c r="R17" s="57" t="str">
        <f>C20 &amp; "=" &amp; D19 &amp; D20</f>
        <v>L=6.5e0</v>
      </c>
      <c r="S17" s="76" t="str">
        <f>H20 &amp; "="  &amp; VLOOKUP(I19,R30:S39,2,FALSE)</f>
        <v>Stiffener=1</v>
      </c>
      <c r="T17" s="44"/>
    </row>
    <row r="18" spans="1:20" s="5" customFormat="1" ht="18" customHeight="1" x14ac:dyDescent="0.25">
      <c r="A18" s="27"/>
      <c r="B18" s="142"/>
      <c r="C18" s="21" t="s">
        <v>3</v>
      </c>
      <c r="D18" s="22" t="str">
        <f>IF(E17="mm","e-3",IF(E17="cm","e-2",IF(E17="m","e0")))</f>
        <v>e-3</v>
      </c>
      <c r="E18" s="23"/>
      <c r="F18" s="35"/>
      <c r="G18" s="150"/>
      <c r="H18" s="66" t="s">
        <v>5</v>
      </c>
      <c r="I18" s="22" t="str">
        <f>IF(J17="mm","e-3",IF(J17="cm","e-2",IF(J17="m","e0")))</f>
        <v>e-3</v>
      </c>
      <c r="J18" s="23"/>
      <c r="K18" s="27"/>
      <c r="L18" s="45"/>
      <c r="M18" s="115"/>
      <c r="N18" s="108"/>
      <c r="O18" s="109"/>
      <c r="P18" s="110"/>
      <c r="Q18" s="45"/>
      <c r="R18" s="74" t="str">
        <f>H37 &amp; "="  &amp; VLOOKUP(I36,R30:S39,2,FALSE)</f>
        <v>LeftSupport=2</v>
      </c>
      <c r="S18" s="76" t="str">
        <f>H22 &amp; "=" &amp; I21 &amp; I22</f>
        <v>bStiff=20e-3</v>
      </c>
      <c r="T18" s="45"/>
    </row>
    <row r="19" spans="1:20" s="3" customFormat="1" ht="18" customHeight="1" x14ac:dyDescent="0.25">
      <c r="A19" s="26"/>
      <c r="B19" s="142"/>
      <c r="C19" s="17" t="s">
        <v>18</v>
      </c>
      <c r="D19" s="18">
        <v>6.5</v>
      </c>
      <c r="E19" s="62" t="s">
        <v>19</v>
      </c>
      <c r="F19" s="37"/>
      <c r="G19" s="150"/>
      <c r="H19" s="67" t="s">
        <v>38</v>
      </c>
      <c r="I19" s="20" t="s">
        <v>73</v>
      </c>
      <c r="J19" s="19" t="s">
        <v>29</v>
      </c>
      <c r="K19" s="26"/>
      <c r="L19" s="44"/>
      <c r="M19" s="115"/>
      <c r="N19" s="108"/>
      <c r="O19" s="109"/>
      <c r="P19" s="110"/>
      <c r="Q19" s="44"/>
      <c r="R19" s="74" t="str">
        <f>H39 &amp; "="  &amp; VLOOKUP(I38,R30:S39,2,FALSE)</f>
        <v>RightSupport=1</v>
      </c>
      <c r="S19" s="76" t="str">
        <f>H24 &amp; "=" &amp; I23 &amp; I24</f>
        <v>tStiff=5e-3</v>
      </c>
      <c r="T19" s="44"/>
    </row>
    <row r="20" spans="1:20" s="5" customFormat="1" ht="18" customHeight="1" x14ac:dyDescent="0.25">
      <c r="A20" s="27"/>
      <c r="B20" s="143"/>
      <c r="C20" s="24" t="s">
        <v>4</v>
      </c>
      <c r="D20" s="4" t="str">
        <f>IF(E19="mm","e-3",IF(E19="cm","e-2",IF(E19="m","e0")))</f>
        <v>e0</v>
      </c>
      <c r="E20" s="15"/>
      <c r="F20" s="35"/>
      <c r="G20" s="150"/>
      <c r="H20" s="66" t="s">
        <v>91</v>
      </c>
      <c r="I20" s="22"/>
      <c r="J20" s="23"/>
      <c r="K20" s="27"/>
      <c r="L20" s="45"/>
      <c r="M20" s="115"/>
      <c r="N20" s="108"/>
      <c r="O20" s="109"/>
      <c r="P20" s="110"/>
      <c r="Q20" s="45"/>
      <c r="R20" s="59"/>
      <c r="S20" s="60"/>
      <c r="T20" s="45"/>
    </row>
    <row r="21" spans="1:20" s="12" customFormat="1" ht="18" customHeight="1" thickBot="1" x14ac:dyDescent="0.3">
      <c r="A21" s="28"/>
      <c r="B21" s="33"/>
      <c r="C21" s="28"/>
      <c r="D21" s="34"/>
      <c r="E21" s="35"/>
      <c r="F21" s="35"/>
      <c r="G21" s="150"/>
      <c r="H21" s="67" t="s">
        <v>39</v>
      </c>
      <c r="I21" s="20">
        <v>20</v>
      </c>
      <c r="J21" s="62" t="s">
        <v>20</v>
      </c>
      <c r="K21" s="28"/>
      <c r="L21" s="46"/>
      <c r="M21" s="116"/>
      <c r="N21" s="111"/>
      <c r="O21" s="112"/>
      <c r="P21" s="113"/>
      <c r="Q21" s="46"/>
      <c r="R21" s="74" t="str">
        <f>C23 &amp; "=" &amp; D22 &amp; D23</f>
        <v>ElasticModulus=200e9</v>
      </c>
      <c r="S21" s="76" t="str">
        <f>C34 &amp; "=" &amp; VLOOKUP(D33,R30:S39,2,FALSE)</f>
        <v>Gravity=1</v>
      </c>
      <c r="T21" s="46"/>
    </row>
    <row r="22" spans="1:20" s="3" customFormat="1" ht="18" customHeight="1" thickBot="1" x14ac:dyDescent="0.3">
      <c r="A22" s="26"/>
      <c r="B22" s="141" t="s">
        <v>30</v>
      </c>
      <c r="C22" s="16" t="s">
        <v>34</v>
      </c>
      <c r="D22" s="13">
        <v>200</v>
      </c>
      <c r="E22" s="61" t="s">
        <v>24</v>
      </c>
      <c r="F22" s="37"/>
      <c r="G22" s="150"/>
      <c r="H22" s="66" t="s">
        <v>92</v>
      </c>
      <c r="I22" s="22" t="str">
        <f>IF(J21="mm","e-3",IF(J21="cm","e-2",IF(J21="m","e0")))</f>
        <v>e-3</v>
      </c>
      <c r="J22" s="23"/>
      <c r="K22" s="26"/>
      <c r="L22" s="44"/>
      <c r="M22" s="64"/>
      <c r="N22" s="63"/>
      <c r="O22" s="63"/>
      <c r="P22" s="63"/>
      <c r="Q22" s="44"/>
      <c r="R22" s="74" t="str">
        <f>C25 &amp; "=" &amp; D24 &amp; D25</f>
        <v>PoissonCoef=0.3</v>
      </c>
      <c r="S22" s="76" t="str">
        <f>H28 &amp; "=" &amp; I27 &amp; I28</f>
        <v>SubstepNumber=50</v>
      </c>
      <c r="T22" s="44"/>
    </row>
    <row r="23" spans="1:20" s="5" customFormat="1" ht="18" customHeight="1" x14ac:dyDescent="0.25">
      <c r="A23" s="27"/>
      <c r="B23" s="142"/>
      <c r="C23" s="21" t="s">
        <v>7</v>
      </c>
      <c r="D23" s="22" t="str">
        <f>IF(E22="Pa","e0",IF(E22="MPa","e6",IF(E22="GPa","e9")))</f>
        <v>e9</v>
      </c>
      <c r="E23" s="23"/>
      <c r="F23" s="35"/>
      <c r="G23" s="150"/>
      <c r="H23" s="67" t="s">
        <v>40</v>
      </c>
      <c r="I23" s="20">
        <v>5</v>
      </c>
      <c r="J23" s="62" t="s">
        <v>20</v>
      </c>
      <c r="K23" s="27"/>
      <c r="L23" s="45"/>
      <c r="M23" s="102" t="s">
        <v>81</v>
      </c>
      <c r="N23" s="103"/>
      <c r="O23" s="103"/>
      <c r="P23" s="104"/>
      <c r="Q23" s="45"/>
      <c r="R23" s="75" t="str">
        <f>C27 &amp; "=" &amp; D26 &amp; D27</f>
        <v>YieldStress=345e6</v>
      </c>
      <c r="S23" s="77" t="str">
        <f>H30 &amp; "=" &amp; I29 &amp; I30</f>
        <v>ElementSize=25e-3</v>
      </c>
      <c r="T23" s="45"/>
    </row>
    <row r="24" spans="1:20" s="3" customFormat="1" ht="18" customHeight="1" x14ac:dyDescent="0.25">
      <c r="A24" s="26"/>
      <c r="B24" s="142"/>
      <c r="C24" s="17" t="s">
        <v>35</v>
      </c>
      <c r="D24" s="20">
        <v>0.3</v>
      </c>
      <c r="E24" s="19" t="s">
        <v>29</v>
      </c>
      <c r="F24" s="37"/>
      <c r="G24" s="150"/>
      <c r="H24" s="68" t="s">
        <v>93</v>
      </c>
      <c r="I24" s="69" t="str">
        <f>IF(J23="mm","e-3",IF(J23="cm","e-2",IF(J23="m","e0")))</f>
        <v>e-3</v>
      </c>
      <c r="J24" s="70"/>
      <c r="K24" s="26"/>
      <c r="L24" s="44"/>
      <c r="M24" s="117" t="s">
        <v>89</v>
      </c>
      <c r="N24" s="118"/>
      <c r="O24" s="118"/>
      <c r="P24" s="119"/>
      <c r="Q24" s="44"/>
      <c r="R24" s="57" t="str">
        <f>C29 &amp; "=" &amp; D28 &amp; D29</f>
        <v>MassDensity=7850</v>
      </c>
      <c r="S24" s="76" t="str">
        <f>H32 &amp; "="  &amp; VLOOKUP(I31,R35:S39,2,FALSE)</f>
        <v>AnalysisMode=4</v>
      </c>
      <c r="T24" s="44"/>
    </row>
    <row r="25" spans="1:20" s="5" customFormat="1" ht="18" customHeight="1" x14ac:dyDescent="0.25">
      <c r="A25" s="27"/>
      <c r="B25" s="142"/>
      <c r="C25" s="21" t="s">
        <v>8</v>
      </c>
      <c r="D25" s="22"/>
      <c r="E25" s="23"/>
      <c r="F25" s="35"/>
      <c r="G25" s="151"/>
      <c r="H25" s="152" t="b">
        <v>1</v>
      </c>
      <c r="I25" s="153"/>
      <c r="J25" s="154"/>
      <c r="K25" s="27"/>
      <c r="L25" s="45"/>
      <c r="M25" s="120" t="s">
        <v>82</v>
      </c>
      <c r="N25" s="121"/>
      <c r="O25" s="121"/>
      <c r="P25" s="122"/>
      <c r="Q25" s="45"/>
      <c r="R25" s="57" t="str">
        <f>C32 &amp; "=" &amp; D31 &amp; D32</f>
        <v>Load=9.4e3</v>
      </c>
      <c r="S25" s="58" t="str">
        <f>IF(H33&lt;&gt;"---",H34 &amp; "=" &amp; I33 &amp; I34,"")</f>
        <v>InitialImperfection=500</v>
      </c>
      <c r="T25" s="45"/>
    </row>
    <row r="26" spans="1:20" s="3" customFormat="1" ht="18" customHeight="1" x14ac:dyDescent="0.25">
      <c r="A26" s="26"/>
      <c r="B26" s="142"/>
      <c r="C26" s="17" t="s">
        <v>36</v>
      </c>
      <c r="D26" s="20">
        <v>345</v>
      </c>
      <c r="E26" s="62" t="s">
        <v>25</v>
      </c>
      <c r="F26" s="37"/>
      <c r="G26" s="28"/>
      <c r="H26" s="34"/>
      <c r="I26" s="28"/>
      <c r="J26" s="34"/>
      <c r="K26" s="35"/>
      <c r="L26" s="44"/>
      <c r="M26" s="120"/>
      <c r="N26" s="121"/>
      <c r="O26" s="121"/>
      <c r="P26" s="122"/>
      <c r="Q26" s="44"/>
      <c r="R26" s="54"/>
      <c r="S26" s="52"/>
      <c r="T26" s="44"/>
    </row>
    <row r="27" spans="1:20" s="5" customFormat="1" ht="18" customHeight="1" thickBot="1" x14ac:dyDescent="0.3">
      <c r="A27" s="27"/>
      <c r="B27" s="142"/>
      <c r="C27" s="21" t="s">
        <v>9</v>
      </c>
      <c r="D27" s="22" t="str">
        <f>IF(E26="Pa","e0",IF(E26="MPa","e6",IF(E26="GPa","e9")))</f>
        <v>e6</v>
      </c>
      <c r="E27" s="23"/>
      <c r="F27" s="35"/>
      <c r="G27" s="141" t="s">
        <v>48</v>
      </c>
      <c r="H27" s="16" t="s">
        <v>41</v>
      </c>
      <c r="I27" s="9">
        <v>50</v>
      </c>
      <c r="J27" s="14" t="s">
        <v>29</v>
      </c>
      <c r="K27" s="27"/>
      <c r="L27" s="45"/>
      <c r="M27" s="123"/>
      <c r="N27" s="124"/>
      <c r="O27" s="124"/>
      <c r="P27" s="125"/>
      <c r="Q27" s="45"/>
      <c r="R27" s="55"/>
      <c r="S27" s="56"/>
      <c r="T27" s="45"/>
    </row>
    <row r="28" spans="1:20" s="3" customFormat="1" ht="18" customHeight="1" thickBot="1" x14ac:dyDescent="0.3">
      <c r="A28" s="26"/>
      <c r="B28" s="142"/>
      <c r="C28" s="17" t="s">
        <v>22</v>
      </c>
      <c r="D28" s="20">
        <v>7850</v>
      </c>
      <c r="E28" s="19" t="s">
        <v>26</v>
      </c>
      <c r="F28" s="37"/>
      <c r="G28" s="142"/>
      <c r="H28" s="21" t="s">
        <v>12</v>
      </c>
      <c r="I28" s="22"/>
      <c r="J28" s="23"/>
      <c r="K28" s="26"/>
      <c r="L28" s="44"/>
      <c r="M28" s="64"/>
      <c r="N28" s="63"/>
      <c r="O28" s="63"/>
      <c r="P28" s="63"/>
      <c r="Q28" s="44"/>
      <c r="R28" s="43"/>
      <c r="S28" s="44"/>
      <c r="T28" s="44"/>
    </row>
    <row r="29" spans="1:20" s="5" customFormat="1" ht="18" customHeight="1" x14ac:dyDescent="0.25">
      <c r="A29" s="27"/>
      <c r="B29" s="143"/>
      <c r="C29" s="24" t="s">
        <v>10</v>
      </c>
      <c r="D29" s="4"/>
      <c r="E29" s="15"/>
      <c r="F29" s="35"/>
      <c r="G29" s="142"/>
      <c r="H29" s="17" t="s">
        <v>42</v>
      </c>
      <c r="I29" s="20">
        <v>25</v>
      </c>
      <c r="J29" s="62" t="s">
        <v>20</v>
      </c>
      <c r="K29" s="27"/>
      <c r="L29" s="45"/>
      <c r="M29" s="102" t="s">
        <v>83</v>
      </c>
      <c r="N29" s="103"/>
      <c r="O29" s="103"/>
      <c r="P29" s="104"/>
      <c r="Q29" s="45"/>
      <c r="R29" s="100" t="s">
        <v>80</v>
      </c>
      <c r="S29" s="101"/>
      <c r="T29" s="45"/>
    </row>
    <row r="30" spans="1:20" s="12" customFormat="1" ht="18" customHeight="1" x14ac:dyDescent="0.25">
      <c r="A30" s="28"/>
      <c r="B30" s="33"/>
      <c r="C30" s="28"/>
      <c r="D30" s="34"/>
      <c r="E30" s="35"/>
      <c r="F30" s="35"/>
      <c r="G30" s="142"/>
      <c r="H30" s="21" t="s">
        <v>6</v>
      </c>
      <c r="I30" s="22" t="str">
        <f>IF(J29="mm","e-3",IF(J29="cm","e-2",IF(J29="m","e0")))</f>
        <v>e-3</v>
      </c>
      <c r="J30" s="23"/>
      <c r="K30" s="28"/>
      <c r="L30" s="46"/>
      <c r="M30" s="97" t="s">
        <v>84</v>
      </c>
      <c r="N30" s="98"/>
      <c r="O30" s="98"/>
      <c r="P30" s="99"/>
      <c r="Q30" s="46"/>
      <c r="R30" s="49" t="s">
        <v>28</v>
      </c>
      <c r="S30" s="47">
        <v>0</v>
      </c>
      <c r="T30" s="46"/>
    </row>
    <row r="31" spans="1:20" s="5" customFormat="1" ht="18" customHeight="1" x14ac:dyDescent="0.25">
      <c r="A31" s="27"/>
      <c r="B31" s="141" t="s">
        <v>59</v>
      </c>
      <c r="C31" s="16" t="s">
        <v>37</v>
      </c>
      <c r="D31" s="78">
        <v>9.4</v>
      </c>
      <c r="E31" s="61" t="s">
        <v>27</v>
      </c>
      <c r="F31" s="37"/>
      <c r="G31" s="142"/>
      <c r="H31" s="17" t="s">
        <v>43</v>
      </c>
      <c r="I31" s="20" t="s">
        <v>79</v>
      </c>
      <c r="J31" s="19" t="s">
        <v>29</v>
      </c>
      <c r="K31" s="27"/>
      <c r="L31" s="45"/>
      <c r="M31" s="97" t="s">
        <v>90</v>
      </c>
      <c r="N31" s="98"/>
      <c r="O31" s="98"/>
      <c r="P31" s="99"/>
      <c r="Q31" s="45"/>
      <c r="R31" s="49" t="s">
        <v>73</v>
      </c>
      <c r="S31" s="47">
        <v>1</v>
      </c>
      <c r="T31" s="45"/>
    </row>
    <row r="32" spans="1:20" ht="18" customHeight="1" x14ac:dyDescent="0.25">
      <c r="A32" s="25"/>
      <c r="B32" s="142"/>
      <c r="C32" s="21" t="s">
        <v>11</v>
      </c>
      <c r="D32" s="22" t="str">
        <f>IF(E31="N/m","e0",IF(E31="kN/m","e3"))</f>
        <v>e3</v>
      </c>
      <c r="E32" s="23"/>
      <c r="F32" s="35"/>
      <c r="G32" s="142"/>
      <c r="H32" s="21" t="s">
        <v>46</v>
      </c>
      <c r="I32" s="22"/>
      <c r="J32" s="23"/>
      <c r="K32" s="25"/>
      <c r="L32" s="43"/>
      <c r="M32" s="97" t="s">
        <v>87</v>
      </c>
      <c r="N32" s="98"/>
      <c r="O32" s="98"/>
      <c r="P32" s="99"/>
      <c r="Q32" s="43"/>
      <c r="R32" s="49" t="s">
        <v>75</v>
      </c>
      <c r="S32" s="47">
        <v>0</v>
      </c>
      <c r="T32" s="43"/>
    </row>
    <row r="33" spans="1:20" s="3" customFormat="1" ht="18" customHeight="1" x14ac:dyDescent="0.25">
      <c r="A33" s="26"/>
      <c r="B33" s="142"/>
      <c r="C33" s="17" t="s">
        <v>23</v>
      </c>
      <c r="D33" s="20" t="s">
        <v>73</v>
      </c>
      <c r="E33" s="19" t="s">
        <v>29</v>
      </c>
      <c r="F33" s="37"/>
      <c r="G33" s="142"/>
      <c r="H33" s="17" t="str">
        <f>IF(I31=R35,"---",IF(I31=R36,"---",IF(I31=R37,"Modos",IF(I31=R38,"Imperfeição",IF(I31=R39,"Modos")))))</f>
        <v>Imperfeição</v>
      </c>
      <c r="I33" s="20">
        <v>500</v>
      </c>
      <c r="J33" s="19" t="str">
        <f>IF(I31=R35,"---",IF(I31=R36,"---",IF(I31=R37,"-",IF(I31=R38,"L/XXX",IF(I31=R39,"-")))))</f>
        <v>L/XXX</v>
      </c>
      <c r="K33" s="26"/>
      <c r="L33" s="44"/>
      <c r="M33" s="85" t="str">
        <f xml:space="preserve"> "4. Carregar* (no ANSYS) o arquivo ''" &amp; D4 &amp; "'';"</f>
        <v>4. Carregar* (no ANSYS) o arquivo ''VigaAlveolar-R0.mac'';</v>
      </c>
      <c r="N33" s="86"/>
      <c r="O33" s="86"/>
      <c r="P33" s="87"/>
      <c r="Q33" s="44"/>
      <c r="R33" s="49" t="s">
        <v>74</v>
      </c>
      <c r="S33" s="47">
        <v>1</v>
      </c>
      <c r="T33" s="44"/>
    </row>
    <row r="34" spans="1:20" s="5" customFormat="1" ht="18" customHeight="1" x14ac:dyDescent="0.25">
      <c r="A34" s="27"/>
      <c r="B34" s="143"/>
      <c r="C34" s="24" t="s">
        <v>49</v>
      </c>
      <c r="D34" s="4"/>
      <c r="E34" s="15"/>
      <c r="F34" s="35"/>
      <c r="G34" s="143"/>
      <c r="H34" s="24" t="str">
        <f>IF(I31=R35,"---",IF(I31=R36,"---",IF(I31=R37,"BucklingModes",IF(I31=R38,"InitialImperfection",IF(I31=R39,"VibrationModes")))))</f>
        <v>InitialImperfection</v>
      </c>
      <c r="I34" s="4"/>
      <c r="J34" s="15"/>
      <c r="K34" s="27"/>
      <c r="L34" s="45"/>
      <c r="M34" s="88"/>
      <c r="N34" s="89"/>
      <c r="O34" s="89"/>
      <c r="P34" s="90"/>
      <c r="Q34" s="45"/>
      <c r="R34" s="49" t="s">
        <v>57</v>
      </c>
      <c r="S34" s="47">
        <v>2</v>
      </c>
      <c r="T34" s="45"/>
    </row>
    <row r="35" spans="1:20" s="3" customFormat="1" ht="18" customHeight="1" x14ac:dyDescent="0.25">
      <c r="A35" s="26"/>
      <c r="B35" s="26"/>
      <c r="C35" s="26"/>
      <c r="D35" s="26"/>
      <c r="E35" s="32"/>
      <c r="F35" s="32"/>
      <c r="G35" s="33"/>
      <c r="H35" s="28"/>
      <c r="I35" s="34"/>
      <c r="J35" s="35"/>
      <c r="K35" s="26"/>
      <c r="L35" s="44"/>
      <c r="M35" s="79" t="s">
        <v>86</v>
      </c>
      <c r="N35" s="80"/>
      <c r="O35" s="80"/>
      <c r="P35" s="81"/>
      <c r="Q35" s="44"/>
      <c r="R35" s="49" t="s">
        <v>47</v>
      </c>
      <c r="S35" s="47">
        <v>1</v>
      </c>
      <c r="T35" s="44"/>
    </row>
    <row r="36" spans="1:20" s="3" customFormat="1" ht="18" customHeight="1" x14ac:dyDescent="0.25">
      <c r="A36" s="26"/>
      <c r="B36" s="132" t="s">
        <v>56</v>
      </c>
      <c r="C36" s="148" t="str">
        <f>IF(OR(COUNTBLANK(D11:D20),COUNTBLANK(D22:D24),COUNTBLANK(D26:D28),COUNTBLANK(D31:D33),COUNTBLANK(I11:I15),COUNTBLANK(I17:I19),COUNTBLANK(I21:I24),COUNTBLANK(I27),COUNTBLANK(I29:I31),COUNTBLANK(I33),COUNTBLANK(I36),COUNTBLANK(I38)),"CAMPO NÃO PREENCHIDO.","-")</f>
        <v>-</v>
      </c>
      <c r="D36" s="148"/>
      <c r="E36" s="148"/>
      <c r="F36" s="36"/>
      <c r="G36" s="141" t="s">
        <v>58</v>
      </c>
      <c r="H36" s="16" t="s">
        <v>44</v>
      </c>
      <c r="I36" s="9" t="s">
        <v>57</v>
      </c>
      <c r="J36" s="14" t="s">
        <v>29</v>
      </c>
      <c r="K36" s="26"/>
      <c r="L36" s="44"/>
      <c r="M36" s="82" t="s">
        <v>85</v>
      </c>
      <c r="N36" s="83"/>
      <c r="O36" s="83"/>
      <c r="P36" s="84"/>
      <c r="Q36" s="44"/>
      <c r="R36" s="49" t="s">
        <v>76</v>
      </c>
      <c r="S36" s="47">
        <v>2</v>
      </c>
      <c r="T36" s="44"/>
    </row>
    <row r="37" spans="1:20" s="5" customFormat="1" ht="18" customHeight="1" x14ac:dyDescent="0.25">
      <c r="A37" s="27"/>
      <c r="B37" s="132"/>
      <c r="C37" s="148" t="str">
        <f>IF(OR(AND(I36="BALANÇO",I38&lt;&gt;"ENGASTE"),AND(I38="BALANÇO",I36&lt;&gt;"ENGASTE")),"MODELO HIPOSTÁTICO.","-")</f>
        <v>-</v>
      </c>
      <c r="D37" s="148"/>
      <c r="E37" s="148"/>
      <c r="F37" s="36"/>
      <c r="G37" s="142"/>
      <c r="H37" s="21" t="s">
        <v>31</v>
      </c>
      <c r="I37" s="22"/>
      <c r="J37" s="23"/>
      <c r="K37" s="27"/>
      <c r="L37" s="45"/>
      <c r="M37" s="91" t="s">
        <v>88</v>
      </c>
      <c r="N37" s="92"/>
      <c r="O37" s="92"/>
      <c r="P37" s="93"/>
      <c r="Q37" s="45"/>
      <c r="R37" s="49" t="s">
        <v>77</v>
      </c>
      <c r="S37" s="47">
        <v>3</v>
      </c>
      <c r="T37" s="45"/>
    </row>
    <row r="38" spans="1:20" s="3" customFormat="1" ht="18" customHeight="1" x14ac:dyDescent="0.25">
      <c r="A38" s="26"/>
      <c r="B38" s="132"/>
      <c r="C38" s="148" t="str">
        <f>IF(I11*("1" &amp; I12)&gt;=D11*("1" &amp; D12),"ABERTURA MAIOR DO QUE A ALMA DO PERFIL.","-")</f>
        <v>-</v>
      </c>
      <c r="D38" s="148"/>
      <c r="E38" s="148"/>
      <c r="F38" s="36"/>
      <c r="G38" s="142"/>
      <c r="H38" s="17" t="s">
        <v>45</v>
      </c>
      <c r="I38" s="20" t="s">
        <v>74</v>
      </c>
      <c r="J38" s="19" t="s">
        <v>29</v>
      </c>
      <c r="K38" s="26"/>
      <c r="L38" s="44"/>
      <c r="M38" s="91"/>
      <c r="N38" s="92"/>
      <c r="O38" s="92"/>
      <c r="P38" s="93"/>
      <c r="Q38" s="44"/>
      <c r="R38" s="49" t="s">
        <v>79</v>
      </c>
      <c r="S38" s="47">
        <v>4</v>
      </c>
      <c r="T38" s="44"/>
    </row>
    <row r="39" spans="1:20" s="5" customFormat="1" ht="18" customHeight="1" thickBot="1" x14ac:dyDescent="0.3">
      <c r="A39" s="27"/>
      <c r="B39" s="132"/>
      <c r="C39" s="148" t="str">
        <f>IF(I11*("1" &amp; I12)&gt;=D19*("1" &amp; D20)/2,"ABERTURA EXCEDE COMPRIMENTO DA PEÇA.","-")</f>
        <v>-</v>
      </c>
      <c r="D39" s="148"/>
      <c r="E39" s="148"/>
      <c r="F39" s="36"/>
      <c r="G39" s="143"/>
      <c r="H39" s="24" t="s">
        <v>32</v>
      </c>
      <c r="I39" s="4"/>
      <c r="J39" s="15"/>
      <c r="K39" s="27"/>
      <c r="L39" s="45"/>
      <c r="M39" s="94"/>
      <c r="N39" s="95"/>
      <c r="O39" s="95"/>
      <c r="P39" s="96"/>
      <c r="Q39" s="45"/>
      <c r="R39" s="50" t="s">
        <v>78</v>
      </c>
      <c r="S39" s="48">
        <v>5</v>
      </c>
      <c r="T39" s="45"/>
    </row>
    <row r="40" spans="1:20" ht="7.5" customHeight="1" x14ac:dyDescent="0.25">
      <c r="A40" s="25"/>
      <c r="B40" s="25"/>
      <c r="C40" s="25"/>
      <c r="D40" s="29"/>
      <c r="E40" s="30"/>
      <c r="F40" s="30"/>
      <c r="G40" s="31"/>
      <c r="H40" s="25"/>
      <c r="I40" s="25"/>
      <c r="J40" s="32"/>
      <c r="K40" s="25"/>
      <c r="L40" s="43"/>
      <c r="M40" s="43"/>
      <c r="N40" s="43"/>
      <c r="O40" s="43"/>
      <c r="P40" s="43"/>
      <c r="Q40" s="43"/>
      <c r="R40" s="43"/>
      <c r="S40" s="43"/>
      <c r="T40" s="43"/>
    </row>
    <row r="41" spans="1:20" s="3" customFormat="1" ht="16.5" customHeight="1" x14ac:dyDescent="0.25">
      <c r="E41" s="6"/>
      <c r="F41" s="6"/>
      <c r="G41" s="11"/>
      <c r="J41" s="6"/>
    </row>
    <row r="42" spans="1:20" s="5" customFormat="1" ht="16.5" customHeight="1" x14ac:dyDescent="0.25">
      <c r="E42" s="7"/>
      <c r="F42" s="7"/>
      <c r="G42" s="11"/>
      <c r="J42" s="7"/>
    </row>
    <row r="43" spans="1:20" s="3" customFormat="1" ht="16.5" customHeight="1" x14ac:dyDescent="0.25">
      <c r="E43" s="6"/>
      <c r="F43" s="6"/>
      <c r="G43" s="11"/>
      <c r="J43" s="6"/>
    </row>
    <row r="44" spans="1:20" s="5" customFormat="1" ht="16.5" customHeight="1" x14ac:dyDescent="0.25">
      <c r="E44" s="7"/>
      <c r="F44" s="7"/>
      <c r="G44" s="11"/>
      <c r="J44" s="7"/>
    </row>
    <row r="45" spans="1:20" ht="16.5" customHeight="1" x14ac:dyDescent="0.25"/>
    <row r="46" spans="1:20" s="3" customFormat="1" ht="16.5" customHeight="1" x14ac:dyDescent="0.25">
      <c r="E46" s="6"/>
      <c r="F46" s="6"/>
      <c r="G46" s="11"/>
      <c r="J46" s="6"/>
    </row>
    <row r="47" spans="1:20" s="5" customFormat="1" ht="16.5" customHeight="1" x14ac:dyDescent="0.25">
      <c r="E47" s="7"/>
      <c r="F47" s="7"/>
      <c r="G47" s="11"/>
      <c r="J47" s="7"/>
    </row>
    <row r="48" spans="1:20" s="3" customFormat="1" ht="16.5" customHeight="1" x14ac:dyDescent="0.25">
      <c r="E48" s="6"/>
      <c r="F48" s="6"/>
      <c r="G48" s="11"/>
      <c r="J48" s="6"/>
    </row>
    <row r="49" spans="5:10" s="5" customFormat="1" ht="16.5" customHeight="1" x14ac:dyDescent="0.25">
      <c r="E49" s="7"/>
      <c r="F49" s="7"/>
      <c r="G49" s="11"/>
      <c r="J49" s="7"/>
    </row>
    <row r="50" spans="5:10" ht="16.5" customHeight="1" x14ac:dyDescent="0.25"/>
    <row r="51" spans="5:10" ht="16.5" customHeight="1" x14ac:dyDescent="0.25"/>
    <row r="52" spans="5:10" ht="16.5" customHeight="1" x14ac:dyDescent="0.25"/>
  </sheetData>
  <mergeCells count="53">
    <mergeCell ref="I2:J2"/>
    <mergeCell ref="C39:E39"/>
    <mergeCell ref="C36:E36"/>
    <mergeCell ref="C37:E37"/>
    <mergeCell ref="C38:E38"/>
    <mergeCell ref="G11:G25"/>
    <mergeCell ref="H25:J25"/>
    <mergeCell ref="I7:J7"/>
    <mergeCell ref="I5:J5"/>
    <mergeCell ref="I9:J9"/>
    <mergeCell ref="I8:J8"/>
    <mergeCell ref="I6:J6"/>
    <mergeCell ref="I4:J4"/>
    <mergeCell ref="D6:E7"/>
    <mergeCell ref="B36:B39"/>
    <mergeCell ref="B4:B9"/>
    <mergeCell ref="F2:G2"/>
    <mergeCell ref="D2:E2"/>
    <mergeCell ref="C6:C7"/>
    <mergeCell ref="D8:E8"/>
    <mergeCell ref="B11:B20"/>
    <mergeCell ref="B22:B29"/>
    <mergeCell ref="G27:G34"/>
    <mergeCell ref="G36:G39"/>
    <mergeCell ref="B31:B34"/>
    <mergeCell ref="B2:C2"/>
    <mergeCell ref="D9:E9"/>
    <mergeCell ref="G4:G9"/>
    <mergeCell ref="D4:E4"/>
    <mergeCell ref="D5:E5"/>
    <mergeCell ref="R29:S29"/>
    <mergeCell ref="M29:P29"/>
    <mergeCell ref="N2:P21"/>
    <mergeCell ref="M2:M21"/>
    <mergeCell ref="M23:P23"/>
    <mergeCell ref="M24:P24"/>
    <mergeCell ref="M25:P27"/>
    <mergeCell ref="R9:S9"/>
    <mergeCell ref="R10:S10"/>
    <mergeCell ref="R11:S11"/>
    <mergeCell ref="R7:S7"/>
    <mergeCell ref="R2:S3"/>
    <mergeCell ref="R4:S4"/>
    <mergeCell ref="R5:S5"/>
    <mergeCell ref="R6:S6"/>
    <mergeCell ref="R8:S8"/>
    <mergeCell ref="M35:P35"/>
    <mergeCell ref="M36:P36"/>
    <mergeCell ref="M33:P34"/>
    <mergeCell ref="M37:P39"/>
    <mergeCell ref="M30:P30"/>
    <mergeCell ref="M31:P31"/>
    <mergeCell ref="M32:P32"/>
  </mergeCells>
  <conditionalFormatting sqref="D11 D13 D15 D17 D19 I11 I13 I21 I23 I29">
    <cfRule type="expression" dxfId="15" priority="18">
      <formula>(E11="m")</formula>
    </cfRule>
    <cfRule type="expression" dxfId="14" priority="19">
      <formula>(E11="cm")</formula>
    </cfRule>
    <cfRule type="expression" dxfId="13" priority="20">
      <formula>(E11="mm")</formula>
    </cfRule>
  </conditionalFormatting>
  <conditionalFormatting sqref="I21:J21 I23:J23">
    <cfRule type="expression" dxfId="12" priority="17">
      <formula>($I$19="NÃO INCLUIR")</formula>
    </cfRule>
  </conditionalFormatting>
  <conditionalFormatting sqref="I33:J33">
    <cfRule type="expression" dxfId="11" priority="23">
      <formula>AND(I31&lt;&gt;R37,I31&lt;&gt;R38,I31&lt;&gt;R39)</formula>
    </cfRule>
  </conditionalFormatting>
  <conditionalFormatting sqref="D26:E26">
    <cfRule type="expression" dxfId="10" priority="24">
      <formula>OR($I$31=$R$37,$I$31=$R$39)</formula>
    </cfRule>
  </conditionalFormatting>
  <conditionalFormatting sqref="I15">
    <cfRule type="expression" dxfId="9" priority="8">
      <formula>(J15="m")</formula>
    </cfRule>
    <cfRule type="expression" dxfId="8" priority="9">
      <formula>(J15="cm")</formula>
    </cfRule>
    <cfRule type="expression" dxfId="7" priority="10">
      <formula>(J15="mm")</formula>
    </cfRule>
  </conditionalFormatting>
  <conditionalFormatting sqref="I17">
    <cfRule type="expression" dxfId="6" priority="5">
      <formula>(J17="m")</formula>
    </cfRule>
    <cfRule type="expression" dxfId="5" priority="6">
      <formula>(J17="cm")</formula>
    </cfRule>
    <cfRule type="expression" dxfId="4" priority="7">
      <formula>(J17="mm")</formula>
    </cfRule>
  </conditionalFormatting>
  <conditionalFormatting sqref="C36:E39">
    <cfRule type="cellIs" dxfId="3" priority="4" operator="notEqual">
      <formula>"-"</formula>
    </cfRule>
  </conditionalFormatting>
  <conditionalFormatting sqref="B36:B39">
    <cfRule type="expression" dxfId="2" priority="3">
      <formula>OR($C$36&lt;&gt;"-",$C$37&lt;&gt;"-",$C$38&lt;&gt;"-",$C$39&lt;&gt;"-")</formula>
    </cfRule>
  </conditionalFormatting>
  <conditionalFormatting sqref="I13:J13 I15:J15">
    <cfRule type="expression" dxfId="1" priority="2">
      <formula>($H$25=TRUE)</formula>
    </cfRule>
  </conditionalFormatting>
  <conditionalFormatting sqref="D31:E31 D33:E33">
    <cfRule type="expression" dxfId="0" priority="1">
      <formula>($I$31="MODAL")</formula>
    </cfRule>
  </conditionalFormatting>
  <dataValidations count="6">
    <dataValidation type="list" allowBlank="1" showInputMessage="1" showErrorMessage="1" sqref="E13:F13 E17:F17 E19:F19 J29 J23 J21 J13 J11 E15:F15 E11:F11 J17">
      <formula1>"m,cm,mm"</formula1>
    </dataValidation>
    <dataValidation type="list" allowBlank="1" showInputMessage="1" showErrorMessage="1" sqref="E26:F26 E22:F22">
      <formula1>"Pa,MPa,GPa"</formula1>
    </dataValidation>
    <dataValidation type="list" allowBlank="1" showInputMessage="1" showErrorMessage="1" sqref="E31:F31">
      <formula1>"N/m,kN/m"</formula1>
    </dataValidation>
    <dataValidation type="list" allowBlank="1" showInputMessage="1" showErrorMessage="1" sqref="I19 D33">
      <formula1>"INCLUIR,NÃO INCLUIR"</formula1>
    </dataValidation>
    <dataValidation type="list" allowBlank="1" showInputMessage="1" showErrorMessage="1" sqref="I36 I38">
      <formula1>"APOIO,ENGASTE,BALANÇO"</formula1>
    </dataValidation>
    <dataValidation type="list" allowBlank="1" showInputMessage="1" showErrorMessage="1" sqref="I31">
      <formula1>"PEQ. DESLOC.,GRANDE DESLOC.,EIGEN BUCKLING,IMPERF. GEOM.,MODAL"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WriteAPDLFile">
                <anchor moveWithCells="1" sizeWithCells="1">
                  <from>
                    <xdr:col>17</xdr:col>
                    <xdr:colOff>57150</xdr:colOff>
                    <xdr:row>25</xdr:row>
                    <xdr:rowOff>76200</xdr:rowOff>
                  </from>
                  <to>
                    <xdr:col>18</xdr:col>
                    <xdr:colOff>1647825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5" name="Check Box 36">
              <controlPr defaultSize="0" autoFill="0" autoLine="0" autoPict="0" macro="[0]!SetOpeningAngle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VigaAlveolar - Dados</vt:lpstr>
      <vt:lpstr>Plan2</vt:lpstr>
      <vt:lpstr>Plan3</vt:lpstr>
      <vt:lpstr>'VigaAlveolar - Dados'!Area_de_impressao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UserStone</dc:creator>
  <cp:lastModifiedBy>UserStone</cp:lastModifiedBy>
  <dcterms:created xsi:type="dcterms:W3CDTF">2014-12-25T19:42:12Z</dcterms:created>
  <dcterms:modified xsi:type="dcterms:W3CDTF">2015-02-26T22:16:47Z</dcterms:modified>
</cp:coreProperties>
</file>